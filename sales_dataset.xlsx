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slicers/slicer1.xml" ContentType="application/vnd.ms-excel.slicer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181ac96cf4fe39/Documents/"/>
    </mc:Choice>
  </mc:AlternateContent>
  <xr:revisionPtr revIDLastSave="391" documentId="8_{BB2D8F36-E5E6-424E-9E39-FD8013E54C45}" xr6:coauthVersionLast="47" xr6:coauthVersionMax="47" xr10:uidLastSave="{9131F090-0AA6-4A36-8C59-5B9F3B74353A}"/>
  <bookViews>
    <workbookView xWindow="-110" yWindow="-110" windowWidth="19420" windowHeight="10300" firstSheet="7" activeTab="4" xr2:uid="{00000000-000D-0000-FFFF-FFFF00000000}"/>
  </bookViews>
  <sheets>
    <sheet name="Dashboard" sheetId="10" r:id="rId1"/>
    <sheet name="Pivot 3" sheetId="5" r:id="rId2"/>
    <sheet name=" Pivot 4" sheetId="6" r:id="rId3"/>
    <sheet name="Pivot 1" sheetId="3" r:id="rId4"/>
    <sheet name="Pivot 5" sheetId="7" r:id="rId5"/>
    <sheet name="Pivot 6" sheetId="8" r:id="rId6"/>
    <sheet name="Pivot 7" sheetId="9" r:id="rId7"/>
    <sheet name="Sheet1" sheetId="1" r:id="rId8"/>
    <sheet name="Pivot 2" sheetId="4" r:id="rId9"/>
  </sheets>
  <definedNames>
    <definedName name="Slicer_City">#N/A</definedName>
    <definedName name="Slicer_Date">#N/A</definedName>
    <definedName name="Slicer_Product">#N/A</definedName>
  </definedNames>
  <calcPr calcId="191028"/>
  <pivotCaches>
    <pivotCache cacheId="151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0" l="1"/>
  <c r="B4" i="10"/>
  <c r="B2" i="10"/>
  <c r="K15" i="1"/>
  <c r="K19" i="1"/>
  <c r="K17" i="1"/>
  <c r="K3" i="1"/>
  <c r="K4" i="1"/>
  <c r="K5" i="1"/>
  <c r="K6" i="1"/>
  <c r="K7" i="1"/>
  <c r="K8" i="1"/>
  <c r="K9" i="1"/>
  <c r="K10" i="1"/>
  <c r="K11" i="1"/>
  <c r="K12" i="1"/>
  <c r="K13" i="1"/>
  <c r="K2" i="1"/>
  <c r="J3" i="1"/>
  <c r="J4" i="1"/>
  <c r="J5" i="1"/>
  <c r="J6" i="1"/>
  <c r="J7" i="1"/>
  <c r="J8" i="1"/>
  <c r="J9" i="1"/>
  <c r="J10" i="1"/>
  <c r="J11" i="1"/>
  <c r="J12" i="1"/>
  <c r="J13" i="1"/>
  <c r="J2" i="1"/>
</calcChain>
</file>

<file path=xl/sharedStrings.xml><?xml version="1.0" encoding="utf-8"?>
<sst xmlns="http://schemas.openxmlformats.org/spreadsheetml/2006/main" count="167" uniqueCount="61">
  <si>
    <t>Total Sales</t>
  </si>
  <si>
    <t>Total Orders</t>
  </si>
  <si>
    <t>Avg Order Value</t>
  </si>
  <si>
    <t>Product</t>
  </si>
  <si>
    <t>Sum of Total_Amount</t>
  </si>
  <si>
    <t>Count of Total_Amount2</t>
  </si>
  <si>
    <t>Sum of Total_Amount2</t>
  </si>
  <si>
    <t>Chair</t>
  </si>
  <si>
    <t>Headphones</t>
  </si>
  <si>
    <t>Laptop</t>
  </si>
  <si>
    <t>Mobile</t>
  </si>
  <si>
    <t>Sofa</t>
  </si>
  <si>
    <t>Table</t>
  </si>
  <si>
    <t>(blank)</t>
  </si>
  <si>
    <t>Grand Total</t>
  </si>
  <si>
    <t>Customer_Name</t>
  </si>
  <si>
    <t>Meera Nair</t>
  </si>
  <si>
    <t>Ananya Sharma</t>
  </si>
  <si>
    <t>Amit Das</t>
  </si>
  <si>
    <t>Arjun Mehta</t>
  </si>
  <si>
    <t>Dev Sharma</t>
  </si>
  <si>
    <t>Karan Singh</t>
  </si>
  <si>
    <t>Neha Jain</t>
  </si>
  <si>
    <t>Priya Iyer</t>
  </si>
  <si>
    <t>Rahul Roy</t>
  </si>
  <si>
    <t>Riya Gupta</t>
  </si>
  <si>
    <t>Rohan Verma</t>
  </si>
  <si>
    <t>Simran Kaur</t>
  </si>
  <si>
    <t>City</t>
  </si>
  <si>
    <t>Count of Total_Amount</t>
  </si>
  <si>
    <t>Chennai</t>
  </si>
  <si>
    <t>Delhi</t>
  </si>
  <si>
    <t>Kolkata</t>
  </si>
  <si>
    <t>Mumbai</t>
  </si>
  <si>
    <t>Pune</t>
  </si>
  <si>
    <t>Average of Total_Amount</t>
  </si>
  <si>
    <t>Date</t>
  </si>
  <si>
    <t>2024-01-06</t>
  </si>
  <si>
    <t>2024-01-12</t>
  </si>
  <si>
    <t>2024-01-13</t>
  </si>
  <si>
    <t>2024-01-16</t>
  </si>
  <si>
    <t>2024-01-10</t>
  </si>
  <si>
    <t>2024-01-08</t>
  </si>
  <si>
    <t>2024-01-09</t>
  </si>
  <si>
    <t>2024-01-07</t>
  </si>
  <si>
    <t>2024-01-15</t>
  </si>
  <si>
    <t>2024-01-14</t>
  </si>
  <si>
    <t>2024-01-05</t>
  </si>
  <si>
    <t>2024-01-11</t>
  </si>
  <si>
    <t>Order_ID</t>
  </si>
  <si>
    <t>Category</t>
  </si>
  <si>
    <t>Quantity</t>
  </si>
  <si>
    <t>Price</t>
  </si>
  <si>
    <t>Total_Amount</t>
  </si>
  <si>
    <t>Electronics</t>
  </si>
  <si>
    <t>Furniture</t>
  </si>
  <si>
    <t>Sum =</t>
  </si>
  <si>
    <t>Count=</t>
  </si>
  <si>
    <t>Average=</t>
  </si>
  <si>
    <t xml:space="preserve"> 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</si>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</sst>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14" fontId="0" fillId="0" borderId="0" xfId="0" pivotButton="1" applyNumberFormat="1"/>
    <xf numFmtId="14" fontId="0" fillId="0" borderId="0" xfId="0" applyNumberFormat="1"/>
    <xf numFmtId="10" fontId="0" fillId="0" borderId="0" xfId="0" applyNumberFormat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6" xfId="0" applyFill="1" applyBorder="1"/>
    <xf numFmtId="0" fontId="0" fillId="4" borderId="7" xfId="0" applyFill="1" applyBorder="1"/>
    <xf numFmtId="0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numFmt numFmtId="164" formatCode="dd/mm/yyyy"/>
    </dxf>
    <dxf>
      <numFmt numFmtId="164" formatCode="dd/mm/yyyy"/>
    </dxf>
    <dxf>
      <numFmt numFmtId="164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 1!PivotTable3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1'!$B$3:$B$4</c:f>
              <c:strCache>
                <c:ptCount val="1"/>
                <c:pt idx="0">
                  <c:v>Chair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1'!$A$5:$A$18</c:f>
              <c:strCache>
                <c:ptCount val="13"/>
                <c:pt idx="0">
                  <c:v>Amit Das</c:v>
                </c:pt>
                <c:pt idx="1">
                  <c:v>Ananya Sharma</c:v>
                </c:pt>
                <c:pt idx="2">
                  <c:v>Arjun Mehta</c:v>
                </c:pt>
                <c:pt idx="3">
                  <c:v>Dev Sharma</c:v>
                </c:pt>
                <c:pt idx="4">
                  <c:v>Karan Singh</c:v>
                </c:pt>
                <c:pt idx="5">
                  <c:v>Meera Nair</c:v>
                </c:pt>
                <c:pt idx="6">
                  <c:v>Neha Jain</c:v>
                </c:pt>
                <c:pt idx="7">
                  <c:v>Priya Iyer</c:v>
                </c:pt>
                <c:pt idx="8">
                  <c:v>Rahul Roy</c:v>
                </c:pt>
                <c:pt idx="9">
                  <c:v>Riya Gupta</c:v>
                </c:pt>
                <c:pt idx="10">
                  <c:v>Rohan Verma</c:v>
                </c:pt>
                <c:pt idx="11">
                  <c:v>Simran Kaur</c:v>
                </c:pt>
                <c:pt idx="12">
                  <c:v>(blank)</c:v>
                </c:pt>
              </c:strCache>
            </c:strRef>
          </c:cat>
          <c:val>
            <c:numRef>
              <c:f>'Pivot 1'!$B$5:$B$18</c:f>
              <c:numCache>
                <c:formatCode>General</c:formatCode>
                <c:ptCount val="13"/>
                <c:pt idx="2">
                  <c:v>8000</c:v>
                </c:pt>
                <c:pt idx="9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3-4EBF-B491-0C8031CA887D}"/>
            </c:ext>
          </c:extLst>
        </c:ser>
        <c:ser>
          <c:idx val="1"/>
          <c:order val="1"/>
          <c:tx>
            <c:strRef>
              <c:f>'Pivot 1'!$C$3:$C$4</c:f>
              <c:strCache>
                <c:ptCount val="1"/>
                <c:pt idx="0">
                  <c:v>Headphones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1'!$A$5:$A$18</c:f>
              <c:strCache>
                <c:ptCount val="13"/>
                <c:pt idx="0">
                  <c:v>Amit Das</c:v>
                </c:pt>
                <c:pt idx="1">
                  <c:v>Ananya Sharma</c:v>
                </c:pt>
                <c:pt idx="2">
                  <c:v>Arjun Mehta</c:v>
                </c:pt>
                <c:pt idx="3">
                  <c:v>Dev Sharma</c:v>
                </c:pt>
                <c:pt idx="4">
                  <c:v>Karan Singh</c:v>
                </c:pt>
                <c:pt idx="5">
                  <c:v>Meera Nair</c:v>
                </c:pt>
                <c:pt idx="6">
                  <c:v>Neha Jain</c:v>
                </c:pt>
                <c:pt idx="7">
                  <c:v>Priya Iyer</c:v>
                </c:pt>
                <c:pt idx="8">
                  <c:v>Rahul Roy</c:v>
                </c:pt>
                <c:pt idx="9">
                  <c:v>Riya Gupta</c:v>
                </c:pt>
                <c:pt idx="10">
                  <c:v>Rohan Verma</c:v>
                </c:pt>
                <c:pt idx="11">
                  <c:v>Simran Kaur</c:v>
                </c:pt>
                <c:pt idx="12">
                  <c:v>(blank)</c:v>
                </c:pt>
              </c:strCache>
            </c:strRef>
          </c:cat>
          <c:val>
            <c:numRef>
              <c:f>'Pivot 1'!$C$5:$C$18</c:f>
              <c:numCache>
                <c:formatCode>General</c:formatCode>
                <c:ptCount val="13"/>
                <c:pt idx="3">
                  <c:v>3600</c:v>
                </c:pt>
                <c:pt idx="10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C3-4EBF-B491-0C8031CA887D}"/>
            </c:ext>
          </c:extLst>
        </c:ser>
        <c:ser>
          <c:idx val="2"/>
          <c:order val="2"/>
          <c:tx>
            <c:strRef>
              <c:f>'Pivot 1'!$D$3:$D$4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1'!$A$5:$A$18</c:f>
              <c:strCache>
                <c:ptCount val="13"/>
                <c:pt idx="0">
                  <c:v>Amit Das</c:v>
                </c:pt>
                <c:pt idx="1">
                  <c:v>Ananya Sharma</c:v>
                </c:pt>
                <c:pt idx="2">
                  <c:v>Arjun Mehta</c:v>
                </c:pt>
                <c:pt idx="3">
                  <c:v>Dev Sharma</c:v>
                </c:pt>
                <c:pt idx="4">
                  <c:v>Karan Singh</c:v>
                </c:pt>
                <c:pt idx="5">
                  <c:v>Meera Nair</c:v>
                </c:pt>
                <c:pt idx="6">
                  <c:v>Neha Jain</c:v>
                </c:pt>
                <c:pt idx="7">
                  <c:v>Priya Iyer</c:v>
                </c:pt>
                <c:pt idx="8">
                  <c:v>Rahul Roy</c:v>
                </c:pt>
                <c:pt idx="9">
                  <c:v>Riya Gupta</c:v>
                </c:pt>
                <c:pt idx="10">
                  <c:v>Rohan Verma</c:v>
                </c:pt>
                <c:pt idx="11">
                  <c:v>Simran Kaur</c:v>
                </c:pt>
                <c:pt idx="12">
                  <c:v>(blank)</c:v>
                </c:pt>
              </c:strCache>
            </c:strRef>
          </c:cat>
          <c:val>
            <c:numRef>
              <c:f>'Pivot 1'!$D$5:$D$18</c:f>
              <c:numCache>
                <c:formatCode>General</c:formatCode>
                <c:ptCount val="13"/>
                <c:pt idx="1">
                  <c:v>55000</c:v>
                </c:pt>
                <c:pt idx="5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C3-4EBF-B491-0C8031CA887D}"/>
            </c:ext>
          </c:extLst>
        </c:ser>
        <c:ser>
          <c:idx val="3"/>
          <c:order val="3"/>
          <c:tx>
            <c:strRef>
              <c:f>'Pivot 1'!$E$3:$E$4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1'!$A$5:$A$18</c:f>
              <c:strCache>
                <c:ptCount val="13"/>
                <c:pt idx="0">
                  <c:v>Amit Das</c:v>
                </c:pt>
                <c:pt idx="1">
                  <c:v>Ananya Sharma</c:v>
                </c:pt>
                <c:pt idx="2">
                  <c:v>Arjun Mehta</c:v>
                </c:pt>
                <c:pt idx="3">
                  <c:v>Dev Sharma</c:v>
                </c:pt>
                <c:pt idx="4">
                  <c:v>Karan Singh</c:v>
                </c:pt>
                <c:pt idx="5">
                  <c:v>Meera Nair</c:v>
                </c:pt>
                <c:pt idx="6">
                  <c:v>Neha Jain</c:v>
                </c:pt>
                <c:pt idx="7">
                  <c:v>Priya Iyer</c:v>
                </c:pt>
                <c:pt idx="8">
                  <c:v>Rahul Roy</c:v>
                </c:pt>
                <c:pt idx="9">
                  <c:v>Riya Gupta</c:v>
                </c:pt>
                <c:pt idx="10">
                  <c:v>Rohan Verma</c:v>
                </c:pt>
                <c:pt idx="11">
                  <c:v>Simran Kaur</c:v>
                </c:pt>
                <c:pt idx="12">
                  <c:v>(blank)</c:v>
                </c:pt>
              </c:strCache>
            </c:strRef>
          </c:cat>
          <c:val>
            <c:numRef>
              <c:f>'Pivot 1'!$E$5:$E$18</c:f>
              <c:numCache>
                <c:formatCode>General</c:formatCode>
                <c:ptCount val="13"/>
                <c:pt idx="0">
                  <c:v>36000</c:v>
                </c:pt>
                <c:pt idx="7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C3-4EBF-B491-0C8031CA887D}"/>
            </c:ext>
          </c:extLst>
        </c:ser>
        <c:ser>
          <c:idx val="4"/>
          <c:order val="4"/>
          <c:tx>
            <c:strRef>
              <c:f>'Pivot 1'!$F$3:$F$4</c:f>
              <c:strCache>
                <c:ptCount val="1"/>
                <c:pt idx="0">
                  <c:v>Sofa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1'!$A$5:$A$18</c:f>
              <c:strCache>
                <c:ptCount val="13"/>
                <c:pt idx="0">
                  <c:v>Amit Das</c:v>
                </c:pt>
                <c:pt idx="1">
                  <c:v>Ananya Sharma</c:v>
                </c:pt>
                <c:pt idx="2">
                  <c:v>Arjun Mehta</c:v>
                </c:pt>
                <c:pt idx="3">
                  <c:v>Dev Sharma</c:v>
                </c:pt>
                <c:pt idx="4">
                  <c:v>Karan Singh</c:v>
                </c:pt>
                <c:pt idx="5">
                  <c:v>Meera Nair</c:v>
                </c:pt>
                <c:pt idx="6">
                  <c:v>Neha Jain</c:v>
                </c:pt>
                <c:pt idx="7">
                  <c:v>Priya Iyer</c:v>
                </c:pt>
                <c:pt idx="8">
                  <c:v>Rahul Roy</c:v>
                </c:pt>
                <c:pt idx="9">
                  <c:v>Riya Gupta</c:v>
                </c:pt>
                <c:pt idx="10">
                  <c:v>Rohan Verma</c:v>
                </c:pt>
                <c:pt idx="11">
                  <c:v>Simran Kaur</c:v>
                </c:pt>
                <c:pt idx="12">
                  <c:v>(blank)</c:v>
                </c:pt>
              </c:strCache>
            </c:strRef>
          </c:cat>
          <c:val>
            <c:numRef>
              <c:f>'Pivot 1'!$F$5:$F$18</c:f>
              <c:numCache>
                <c:formatCode>General</c:formatCode>
                <c:ptCount val="13"/>
                <c:pt idx="6">
                  <c:v>27000</c:v>
                </c:pt>
                <c:pt idx="11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C3-4EBF-B491-0C8031CA887D}"/>
            </c:ext>
          </c:extLst>
        </c:ser>
        <c:ser>
          <c:idx val="5"/>
          <c:order val="5"/>
          <c:tx>
            <c:strRef>
              <c:f>'Pivot 1'!$G$3:$G$4</c:f>
              <c:strCache>
                <c:ptCount val="1"/>
                <c:pt idx="0">
                  <c:v>Table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1'!$A$5:$A$18</c:f>
              <c:strCache>
                <c:ptCount val="13"/>
                <c:pt idx="0">
                  <c:v>Amit Das</c:v>
                </c:pt>
                <c:pt idx="1">
                  <c:v>Ananya Sharma</c:v>
                </c:pt>
                <c:pt idx="2">
                  <c:v>Arjun Mehta</c:v>
                </c:pt>
                <c:pt idx="3">
                  <c:v>Dev Sharma</c:v>
                </c:pt>
                <c:pt idx="4">
                  <c:v>Karan Singh</c:v>
                </c:pt>
                <c:pt idx="5">
                  <c:v>Meera Nair</c:v>
                </c:pt>
                <c:pt idx="6">
                  <c:v>Neha Jain</c:v>
                </c:pt>
                <c:pt idx="7">
                  <c:v>Priya Iyer</c:v>
                </c:pt>
                <c:pt idx="8">
                  <c:v>Rahul Roy</c:v>
                </c:pt>
                <c:pt idx="9">
                  <c:v>Riya Gupta</c:v>
                </c:pt>
                <c:pt idx="10">
                  <c:v>Rohan Verma</c:v>
                </c:pt>
                <c:pt idx="11">
                  <c:v>Simran Kaur</c:v>
                </c:pt>
                <c:pt idx="12">
                  <c:v>(blank)</c:v>
                </c:pt>
              </c:strCache>
            </c:strRef>
          </c:cat>
          <c:val>
            <c:numRef>
              <c:f>'Pivot 1'!$G$5:$G$18</c:f>
              <c:numCache>
                <c:formatCode>General</c:formatCode>
                <c:ptCount val="13"/>
                <c:pt idx="4">
                  <c:v>7000</c:v>
                </c:pt>
                <c:pt idx="8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0C3-4EBF-B491-0C8031CA887D}"/>
            </c:ext>
          </c:extLst>
        </c:ser>
        <c:ser>
          <c:idx val="6"/>
          <c:order val="6"/>
          <c:tx>
            <c:strRef>
              <c:f>'Pivot 1'!$H$3:$H$4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1'!$A$5:$A$18</c:f>
              <c:strCache>
                <c:ptCount val="13"/>
                <c:pt idx="0">
                  <c:v>Amit Das</c:v>
                </c:pt>
                <c:pt idx="1">
                  <c:v>Ananya Sharma</c:v>
                </c:pt>
                <c:pt idx="2">
                  <c:v>Arjun Mehta</c:v>
                </c:pt>
                <c:pt idx="3">
                  <c:v>Dev Sharma</c:v>
                </c:pt>
                <c:pt idx="4">
                  <c:v>Karan Singh</c:v>
                </c:pt>
                <c:pt idx="5">
                  <c:v>Meera Nair</c:v>
                </c:pt>
                <c:pt idx="6">
                  <c:v>Neha Jain</c:v>
                </c:pt>
                <c:pt idx="7">
                  <c:v>Priya Iyer</c:v>
                </c:pt>
                <c:pt idx="8">
                  <c:v>Rahul Roy</c:v>
                </c:pt>
                <c:pt idx="9">
                  <c:v>Riya Gupta</c:v>
                </c:pt>
                <c:pt idx="10">
                  <c:v>Rohan Verma</c:v>
                </c:pt>
                <c:pt idx="11">
                  <c:v>Simran Kaur</c:v>
                </c:pt>
                <c:pt idx="12">
                  <c:v>(blank)</c:v>
                </c:pt>
              </c:strCache>
            </c:strRef>
          </c:cat>
          <c:val>
            <c:numRef>
              <c:f>'Pivot 1'!$H$5:$H$18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6-20C3-4EBF-B491-0C8031CA8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494600"/>
        <c:axId val="311753736"/>
      </c:barChart>
      <c:catAx>
        <c:axId val="8494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753736"/>
        <c:crosses val="autoZero"/>
        <c:auto val="1"/>
        <c:lblAlgn val="ctr"/>
        <c:lblOffset val="100"/>
        <c:noMultiLvlLbl val="0"/>
      </c:catAx>
      <c:valAx>
        <c:axId val="3117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4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 3!PivotTable5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3'!$A$4:$A$11</c:f>
              <c:strCache>
                <c:ptCount val="7"/>
                <c:pt idx="0">
                  <c:v>Chair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Sofa</c:v>
                </c:pt>
                <c:pt idx="5">
                  <c:v>Table</c:v>
                </c:pt>
                <c:pt idx="6">
                  <c:v>(blank)</c:v>
                </c:pt>
              </c:strCache>
            </c:strRef>
          </c:cat>
          <c:val>
            <c:numRef>
              <c:f>'Pivot 3'!$B$4:$B$11</c:f>
              <c:numCache>
                <c:formatCode>0.00%</c:formatCode>
                <c:ptCount val="7"/>
                <c:pt idx="0">
                  <c:v>5.0761421319796954E-2</c:v>
                </c:pt>
                <c:pt idx="1">
                  <c:v>2.5771183131589222E-2</c:v>
                </c:pt>
                <c:pt idx="2">
                  <c:v>0.44904334244435767</c:v>
                </c:pt>
                <c:pt idx="3">
                  <c:v>0.21866458414681764</c:v>
                </c:pt>
                <c:pt idx="4">
                  <c:v>0.20304568527918782</c:v>
                </c:pt>
                <c:pt idx="5">
                  <c:v>5.2713783678250685E-2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A-4F1A-8087-6C3ACA721424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Count of Total_Amount2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3'!$A$4:$A$11</c:f>
              <c:strCache>
                <c:ptCount val="7"/>
                <c:pt idx="0">
                  <c:v>Chair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Sofa</c:v>
                </c:pt>
                <c:pt idx="5">
                  <c:v>Table</c:v>
                </c:pt>
                <c:pt idx="6">
                  <c:v>(blank)</c:v>
                </c:pt>
              </c:strCache>
            </c:strRef>
          </c:cat>
          <c:val>
            <c:numRef>
              <c:f>'Pivot 3'!$C$4:$C$11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AA-4F1A-8087-6C3ACA721424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Total_Amount2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3'!$A$4:$A$11</c:f>
              <c:strCache>
                <c:ptCount val="7"/>
                <c:pt idx="0">
                  <c:v>Chair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Sofa</c:v>
                </c:pt>
                <c:pt idx="5">
                  <c:v>Table</c:v>
                </c:pt>
                <c:pt idx="6">
                  <c:v>(blank)</c:v>
                </c:pt>
              </c:strCache>
            </c:strRef>
          </c:cat>
          <c:val>
            <c:numRef>
              <c:f>'Pivot 3'!$D$4:$D$11</c:f>
              <c:numCache>
                <c:formatCode>General</c:formatCode>
                <c:ptCount val="7"/>
                <c:pt idx="0">
                  <c:v>13000</c:v>
                </c:pt>
                <c:pt idx="1">
                  <c:v>6600</c:v>
                </c:pt>
                <c:pt idx="2">
                  <c:v>115000</c:v>
                </c:pt>
                <c:pt idx="3">
                  <c:v>56000</c:v>
                </c:pt>
                <c:pt idx="4">
                  <c:v>52000</c:v>
                </c:pt>
                <c:pt idx="5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AA-4F1A-8087-6C3ACA721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6844680"/>
        <c:axId val="88771591"/>
      </c:barChart>
      <c:catAx>
        <c:axId val="1346844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71591"/>
        <c:crosses val="autoZero"/>
        <c:auto val="1"/>
        <c:lblAlgn val="ctr"/>
        <c:lblOffset val="100"/>
        <c:noMultiLvlLbl val="0"/>
      </c:catAx>
      <c:valAx>
        <c:axId val="88771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44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 3!PivotTable5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Total_Amount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6F-466E-A7CA-8CC657B0E6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6F-466E-A7CA-8CC657B0E6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6F-466E-A7CA-8CC657B0E6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6F-466E-A7CA-8CC657B0E6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26F-466E-A7CA-8CC657B0E65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26F-466E-A7CA-8CC657B0E65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26F-466E-A7CA-8CC657B0E651}"/>
              </c:ext>
            </c:extLst>
          </c:dPt>
          <c:cat>
            <c:strRef>
              <c:f>'Pivot 3'!$A$4:$A$11</c:f>
              <c:strCache>
                <c:ptCount val="7"/>
                <c:pt idx="0">
                  <c:v>Chair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Sofa</c:v>
                </c:pt>
                <c:pt idx="5">
                  <c:v>Table</c:v>
                </c:pt>
                <c:pt idx="6">
                  <c:v>(blank)</c:v>
                </c:pt>
              </c:strCache>
            </c:strRef>
          </c:cat>
          <c:val>
            <c:numRef>
              <c:f>'Pivot 3'!$B$4:$B$11</c:f>
              <c:numCache>
                <c:formatCode>0.00%</c:formatCode>
                <c:ptCount val="7"/>
                <c:pt idx="0">
                  <c:v>5.0761421319796954E-2</c:v>
                </c:pt>
                <c:pt idx="1">
                  <c:v>2.5771183131589222E-2</c:v>
                </c:pt>
                <c:pt idx="2">
                  <c:v>0.44904334244435767</c:v>
                </c:pt>
                <c:pt idx="3">
                  <c:v>0.21866458414681764</c:v>
                </c:pt>
                <c:pt idx="4">
                  <c:v>0.20304568527918782</c:v>
                </c:pt>
                <c:pt idx="5">
                  <c:v>5.2713783678250685E-2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26F-466E-A7CA-8CC657B0E651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Count of Total_Amount2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226F-466E-A7CA-8CC657B0E6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226F-466E-A7CA-8CC657B0E6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226F-466E-A7CA-8CC657B0E6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226F-466E-A7CA-8CC657B0E6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226F-466E-A7CA-8CC657B0E65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226F-466E-A7CA-8CC657B0E65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226F-466E-A7CA-8CC657B0E651}"/>
              </c:ext>
            </c:extLst>
          </c:dPt>
          <c:cat>
            <c:strRef>
              <c:f>'Pivot 3'!$A$4:$A$11</c:f>
              <c:strCache>
                <c:ptCount val="7"/>
                <c:pt idx="0">
                  <c:v>Chair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Sofa</c:v>
                </c:pt>
                <c:pt idx="5">
                  <c:v>Table</c:v>
                </c:pt>
                <c:pt idx="6">
                  <c:v>(blank)</c:v>
                </c:pt>
              </c:strCache>
            </c:strRef>
          </c:cat>
          <c:val>
            <c:numRef>
              <c:f>'Pivot 3'!$C$4:$C$11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26F-466E-A7CA-8CC657B0E651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Total_Amount2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26F-466E-A7CA-8CC657B0E6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26F-466E-A7CA-8CC657B0E6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26F-466E-A7CA-8CC657B0E6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26F-466E-A7CA-8CC657B0E6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26F-466E-A7CA-8CC657B0E65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26F-466E-A7CA-8CC657B0E65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226F-466E-A7CA-8CC657B0E651}"/>
              </c:ext>
            </c:extLst>
          </c:dPt>
          <c:cat>
            <c:strRef>
              <c:f>'Pivot 3'!$A$4:$A$11</c:f>
              <c:strCache>
                <c:ptCount val="7"/>
                <c:pt idx="0">
                  <c:v>Chair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Sofa</c:v>
                </c:pt>
                <c:pt idx="5">
                  <c:v>Table</c:v>
                </c:pt>
                <c:pt idx="6">
                  <c:v>(blank)</c:v>
                </c:pt>
              </c:strCache>
            </c:strRef>
          </c:cat>
          <c:val>
            <c:numRef>
              <c:f>'Pivot 3'!$D$4:$D$11</c:f>
              <c:numCache>
                <c:formatCode>General</c:formatCode>
                <c:ptCount val="7"/>
                <c:pt idx="0">
                  <c:v>13000</c:v>
                </c:pt>
                <c:pt idx="1">
                  <c:v>6600</c:v>
                </c:pt>
                <c:pt idx="2">
                  <c:v>115000</c:v>
                </c:pt>
                <c:pt idx="3">
                  <c:v>56000</c:v>
                </c:pt>
                <c:pt idx="4">
                  <c:v>52000</c:v>
                </c:pt>
                <c:pt idx="5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226F-466E-A7CA-8CC657B0E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 Pivot 4!PivotTable6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 Pivot 4'!$B$3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DF-45D0-956B-C4CF67F308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DF-45D0-956B-C4CF67F308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DF-45D0-956B-C4CF67F308B2}"/>
              </c:ext>
            </c:extLst>
          </c:dPt>
          <c:cat>
            <c:strRef>
              <c:f>' Pivot 4'!$A$4:$A$7</c:f>
              <c:strCache>
                <c:ptCount val="3"/>
                <c:pt idx="0">
                  <c:v>Meera Nair</c:v>
                </c:pt>
                <c:pt idx="1">
                  <c:v>Ananya Sharma</c:v>
                </c:pt>
                <c:pt idx="2">
                  <c:v>Amit Das</c:v>
                </c:pt>
              </c:strCache>
            </c:strRef>
          </c:cat>
          <c:val>
            <c:numRef>
              <c:f>' Pivot 4'!$B$4:$B$7</c:f>
              <c:numCache>
                <c:formatCode>General</c:formatCode>
                <c:ptCount val="3"/>
                <c:pt idx="0">
                  <c:v>60000</c:v>
                </c:pt>
                <c:pt idx="1">
                  <c:v>55000</c:v>
                </c:pt>
                <c:pt idx="2">
                  <c:v>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DF-45D0-956B-C4CF67F30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 Pivot 4!PivotTable6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Pivot 4'!$A$4:$A$7</c:f>
              <c:strCache>
                <c:ptCount val="3"/>
                <c:pt idx="0">
                  <c:v>Meera Nair</c:v>
                </c:pt>
                <c:pt idx="1">
                  <c:v>Ananya Sharma</c:v>
                </c:pt>
                <c:pt idx="2">
                  <c:v>Amit Das</c:v>
                </c:pt>
              </c:strCache>
            </c:strRef>
          </c:cat>
          <c:val>
            <c:numRef>
              <c:f>' Pivot 4'!$B$4:$B$7</c:f>
              <c:numCache>
                <c:formatCode>General</c:formatCode>
                <c:ptCount val="3"/>
                <c:pt idx="0">
                  <c:v>60000</c:v>
                </c:pt>
                <c:pt idx="1">
                  <c:v>55000</c:v>
                </c:pt>
                <c:pt idx="2">
                  <c:v>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9-434A-99A2-4A8D0EABF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7208584"/>
        <c:axId val="1161970696"/>
      </c:barChart>
      <c:catAx>
        <c:axId val="1157208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970696"/>
        <c:crosses val="autoZero"/>
        <c:auto val="1"/>
        <c:lblAlgn val="ctr"/>
        <c:lblOffset val="100"/>
        <c:noMultiLvlLbl val="0"/>
      </c:catAx>
      <c:valAx>
        <c:axId val="1161970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208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 5!PivotTable1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5'!$B$3</c:f>
              <c:strCache>
                <c:ptCount val="1"/>
                <c:pt idx="0">
                  <c:v>Count of Total_Amount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5'!$A$4:$A$10</c:f>
              <c:strCache>
                <c:ptCount val="6"/>
                <c:pt idx="0">
                  <c:v>Chennai</c:v>
                </c:pt>
                <c:pt idx="1">
                  <c:v>Delhi</c:v>
                </c:pt>
                <c:pt idx="2">
                  <c:v>Kolkata</c:v>
                </c:pt>
                <c:pt idx="3">
                  <c:v>Mumbai</c:v>
                </c:pt>
                <c:pt idx="4">
                  <c:v>Pune</c:v>
                </c:pt>
                <c:pt idx="5">
                  <c:v>(blank)</c:v>
                </c:pt>
              </c:strCache>
            </c:strRef>
          </c:cat>
          <c:val>
            <c:numRef>
              <c:f>'Pivot 5'!$B$4:$B$10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B-4BCA-82D7-A9CA9DF567A8}"/>
            </c:ext>
          </c:extLst>
        </c:ser>
        <c:ser>
          <c:idx val="1"/>
          <c:order val="1"/>
          <c:tx>
            <c:strRef>
              <c:f>'Pivot 5'!$C$3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5'!$A$4:$A$10</c:f>
              <c:strCache>
                <c:ptCount val="6"/>
                <c:pt idx="0">
                  <c:v>Chennai</c:v>
                </c:pt>
                <c:pt idx="1">
                  <c:v>Delhi</c:v>
                </c:pt>
                <c:pt idx="2">
                  <c:v>Kolkata</c:v>
                </c:pt>
                <c:pt idx="3">
                  <c:v>Mumbai</c:v>
                </c:pt>
                <c:pt idx="4">
                  <c:v>Pune</c:v>
                </c:pt>
                <c:pt idx="5">
                  <c:v>(blank)</c:v>
                </c:pt>
              </c:strCache>
            </c:strRef>
          </c:cat>
          <c:val>
            <c:numRef>
              <c:f>'Pivot 5'!$C$4:$C$10</c:f>
              <c:numCache>
                <c:formatCode>General</c:formatCode>
                <c:ptCount val="6"/>
                <c:pt idx="0">
                  <c:v>60000</c:v>
                </c:pt>
                <c:pt idx="1">
                  <c:v>54000</c:v>
                </c:pt>
                <c:pt idx="2">
                  <c:v>42500</c:v>
                </c:pt>
                <c:pt idx="3">
                  <c:v>25000</c:v>
                </c:pt>
                <c:pt idx="4">
                  <c:v>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8B-4BCA-82D7-A9CA9DF56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80296"/>
        <c:axId val="490066440"/>
      </c:barChart>
      <c:catAx>
        <c:axId val="8780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066440"/>
        <c:crosses val="autoZero"/>
        <c:auto val="1"/>
        <c:lblAlgn val="ctr"/>
        <c:lblOffset val="100"/>
        <c:noMultiLvlLbl val="0"/>
      </c:catAx>
      <c:valAx>
        <c:axId val="49006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0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 5!PivotTable1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Count of Total_Amount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30-42ED-A224-A605172FB8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30-42ED-A224-A605172FB8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30-42ED-A224-A605172FB8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30-42ED-A224-A605172FB8F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330-42ED-A224-A605172FB8F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330-42ED-A224-A605172FB8FE}"/>
              </c:ext>
            </c:extLst>
          </c:dPt>
          <c:cat>
            <c:strRef>
              <c:f>'Pivot 5'!$A$4:$A$10</c:f>
              <c:strCache>
                <c:ptCount val="6"/>
                <c:pt idx="0">
                  <c:v>Chennai</c:v>
                </c:pt>
                <c:pt idx="1">
                  <c:v>Delhi</c:v>
                </c:pt>
                <c:pt idx="2">
                  <c:v>Kolkata</c:v>
                </c:pt>
                <c:pt idx="3">
                  <c:v>Mumbai</c:v>
                </c:pt>
                <c:pt idx="4">
                  <c:v>Pune</c:v>
                </c:pt>
                <c:pt idx="5">
                  <c:v>(blank)</c:v>
                </c:pt>
              </c:strCache>
            </c:strRef>
          </c:cat>
          <c:val>
            <c:numRef>
              <c:f>'Pivot 5'!$B$4:$B$10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330-42ED-A224-A605172FB8FE}"/>
            </c:ext>
          </c:extLst>
        </c:ser>
        <c:ser>
          <c:idx val="1"/>
          <c:order val="1"/>
          <c:tx>
            <c:strRef>
              <c:f>'Pivot 5'!$C$3</c:f>
              <c:strCache>
                <c:ptCount val="1"/>
                <c:pt idx="0">
                  <c:v>Sum of Total_Amount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330-42ED-A224-A605172FB8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330-42ED-A224-A605172FB8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7330-42ED-A224-A605172FB8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7330-42ED-A224-A605172FB8F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7330-42ED-A224-A605172FB8F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7330-42ED-A224-A605172FB8FE}"/>
              </c:ext>
            </c:extLst>
          </c:dPt>
          <c:cat>
            <c:strRef>
              <c:f>'Pivot 5'!$A$4:$A$10</c:f>
              <c:strCache>
                <c:ptCount val="6"/>
                <c:pt idx="0">
                  <c:v>Chennai</c:v>
                </c:pt>
                <c:pt idx="1">
                  <c:v>Delhi</c:v>
                </c:pt>
                <c:pt idx="2">
                  <c:v>Kolkata</c:v>
                </c:pt>
                <c:pt idx="3">
                  <c:v>Mumbai</c:v>
                </c:pt>
                <c:pt idx="4">
                  <c:v>Pune</c:v>
                </c:pt>
                <c:pt idx="5">
                  <c:v>(blank)</c:v>
                </c:pt>
              </c:strCache>
            </c:strRef>
          </c:cat>
          <c:val>
            <c:numRef>
              <c:f>'Pivot 5'!$C$4:$C$10</c:f>
              <c:numCache>
                <c:formatCode>General</c:formatCode>
                <c:ptCount val="6"/>
                <c:pt idx="0">
                  <c:v>60000</c:v>
                </c:pt>
                <c:pt idx="1">
                  <c:v>54000</c:v>
                </c:pt>
                <c:pt idx="2">
                  <c:v>42500</c:v>
                </c:pt>
                <c:pt idx="3">
                  <c:v>25000</c:v>
                </c:pt>
                <c:pt idx="4">
                  <c:v>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330-42ED-A224-A605172FB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 6!PivotTable2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6'!$A$4:$A$17</c:f>
              <c:strCache>
                <c:ptCount val="13"/>
                <c:pt idx="0">
                  <c:v>Amit Das</c:v>
                </c:pt>
                <c:pt idx="1">
                  <c:v>Ananya Sharma</c:v>
                </c:pt>
                <c:pt idx="2">
                  <c:v>Arjun Mehta</c:v>
                </c:pt>
                <c:pt idx="3">
                  <c:v>Dev Sharma</c:v>
                </c:pt>
                <c:pt idx="4">
                  <c:v>Karan Singh</c:v>
                </c:pt>
                <c:pt idx="5">
                  <c:v>Meera Nair</c:v>
                </c:pt>
                <c:pt idx="6">
                  <c:v>Neha Jain</c:v>
                </c:pt>
                <c:pt idx="7">
                  <c:v>Priya Iyer</c:v>
                </c:pt>
                <c:pt idx="8">
                  <c:v>Rahul Roy</c:v>
                </c:pt>
                <c:pt idx="9">
                  <c:v>Riya Gupta</c:v>
                </c:pt>
                <c:pt idx="10">
                  <c:v>Rohan Verma</c:v>
                </c:pt>
                <c:pt idx="11">
                  <c:v>Simran Kaur</c:v>
                </c:pt>
                <c:pt idx="12">
                  <c:v>(blank)</c:v>
                </c:pt>
              </c:strCache>
            </c:strRef>
          </c:cat>
          <c:val>
            <c:numRef>
              <c:f>'Pivot 6'!$B$4:$B$17</c:f>
              <c:numCache>
                <c:formatCode>General</c:formatCode>
                <c:ptCount val="13"/>
                <c:pt idx="0">
                  <c:v>36000</c:v>
                </c:pt>
                <c:pt idx="1">
                  <c:v>55000</c:v>
                </c:pt>
                <c:pt idx="2">
                  <c:v>8000</c:v>
                </c:pt>
                <c:pt idx="3">
                  <c:v>3600</c:v>
                </c:pt>
                <c:pt idx="4">
                  <c:v>7000</c:v>
                </c:pt>
                <c:pt idx="5">
                  <c:v>60000</c:v>
                </c:pt>
                <c:pt idx="6">
                  <c:v>27000</c:v>
                </c:pt>
                <c:pt idx="7">
                  <c:v>20000</c:v>
                </c:pt>
                <c:pt idx="8">
                  <c:v>6500</c:v>
                </c:pt>
                <c:pt idx="9">
                  <c:v>5000</c:v>
                </c:pt>
                <c:pt idx="10">
                  <c:v>3000</c:v>
                </c:pt>
                <c:pt idx="11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8-469E-A28D-9A9373E39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89320"/>
        <c:axId val="8608264"/>
      </c:barChart>
      <c:catAx>
        <c:axId val="8589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8264"/>
        <c:crosses val="autoZero"/>
        <c:auto val="1"/>
        <c:lblAlgn val="ctr"/>
        <c:lblOffset val="100"/>
        <c:noMultiLvlLbl val="0"/>
      </c:catAx>
      <c:valAx>
        <c:axId val="8608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9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 6!PivotTable2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6'!$B$3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2F-48E0-A993-EEA161A2BF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2F-48E0-A993-EEA161A2BF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F-48E0-A993-EEA161A2BF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F2F-48E0-A993-EEA161A2BF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F2F-48E0-A993-EEA161A2BF1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F2F-48E0-A993-EEA161A2BF1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F2F-48E0-A993-EEA161A2BF1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F2F-48E0-A993-EEA161A2BF1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F2F-48E0-A993-EEA161A2BF1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F2F-48E0-A993-EEA161A2BF1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F2F-48E0-A993-EEA161A2BF1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F2F-48E0-A993-EEA161A2BF1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F2F-48E0-A993-EEA161A2BF1D}"/>
              </c:ext>
            </c:extLst>
          </c:dPt>
          <c:cat>
            <c:strRef>
              <c:f>'Pivot 6'!$A$4:$A$17</c:f>
              <c:strCache>
                <c:ptCount val="13"/>
                <c:pt idx="0">
                  <c:v>Amit Das</c:v>
                </c:pt>
                <c:pt idx="1">
                  <c:v>Ananya Sharma</c:v>
                </c:pt>
                <c:pt idx="2">
                  <c:v>Arjun Mehta</c:v>
                </c:pt>
                <c:pt idx="3">
                  <c:v>Dev Sharma</c:v>
                </c:pt>
                <c:pt idx="4">
                  <c:v>Karan Singh</c:v>
                </c:pt>
                <c:pt idx="5">
                  <c:v>Meera Nair</c:v>
                </c:pt>
                <c:pt idx="6">
                  <c:v>Neha Jain</c:v>
                </c:pt>
                <c:pt idx="7">
                  <c:v>Priya Iyer</c:v>
                </c:pt>
                <c:pt idx="8">
                  <c:v>Rahul Roy</c:v>
                </c:pt>
                <c:pt idx="9">
                  <c:v>Riya Gupta</c:v>
                </c:pt>
                <c:pt idx="10">
                  <c:v>Rohan Verma</c:v>
                </c:pt>
                <c:pt idx="11">
                  <c:v>Simran Kaur</c:v>
                </c:pt>
                <c:pt idx="12">
                  <c:v>(blank)</c:v>
                </c:pt>
              </c:strCache>
            </c:strRef>
          </c:cat>
          <c:val>
            <c:numRef>
              <c:f>'Pivot 6'!$B$4:$B$17</c:f>
              <c:numCache>
                <c:formatCode>General</c:formatCode>
                <c:ptCount val="13"/>
                <c:pt idx="0">
                  <c:v>36000</c:v>
                </c:pt>
                <c:pt idx="1">
                  <c:v>55000</c:v>
                </c:pt>
                <c:pt idx="2">
                  <c:v>8000</c:v>
                </c:pt>
                <c:pt idx="3">
                  <c:v>3600</c:v>
                </c:pt>
                <c:pt idx="4">
                  <c:v>7000</c:v>
                </c:pt>
                <c:pt idx="5">
                  <c:v>60000</c:v>
                </c:pt>
                <c:pt idx="6">
                  <c:v>27000</c:v>
                </c:pt>
                <c:pt idx="7">
                  <c:v>20000</c:v>
                </c:pt>
                <c:pt idx="8">
                  <c:v>6500</c:v>
                </c:pt>
                <c:pt idx="9">
                  <c:v>5000</c:v>
                </c:pt>
                <c:pt idx="10">
                  <c:v>3000</c:v>
                </c:pt>
                <c:pt idx="11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F2F-48E0-A993-EEA161A2B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 7!PivotTable3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rgbClr val="FF0000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rgbClr val="E26B0A"/>
            </a:solidFill>
            <a:prstDash val="solid"/>
          </a:ln>
          <a:effectLst/>
        </c:spPr>
      </c:pivotFmt>
      <c:pivotFmt>
        <c:idx val="2"/>
        <c:spPr>
          <a:solidFill>
            <a:schemeClr val="accent1"/>
          </a:solidFill>
          <a:ln>
            <a:solidFill>
              <a:srgbClr val="FF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rgbClr val="E26B0A"/>
            </a:solidFill>
            <a:prstDash val="solid"/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rgbClr val="FF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rgbClr val="E26B0A"/>
            </a:solidFill>
            <a:prstDash val="solid"/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rgbClr val="FF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solidFill>
              <a:srgbClr val="E26B0A"/>
            </a:solidFill>
            <a:prstDash val="solid"/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rgbClr val="FF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solidFill>
              <a:srgbClr val="E26B0A"/>
            </a:solidFill>
            <a:prstDash val="solid"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7'!$B$3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2D6-4064-B9A8-D406510C20A7}"/>
              </c:ext>
            </c:extLst>
          </c:dPt>
          <c:cat>
            <c:strRef>
              <c:f>'Pivot 7'!$A$4:$A$17</c:f>
              <c:strCache>
                <c:ptCount val="13"/>
                <c:pt idx="0">
                  <c:v>(blank)</c:v>
                </c:pt>
                <c:pt idx="1">
                  <c:v>2024-01-06</c:v>
                </c:pt>
                <c:pt idx="2">
                  <c:v>2024-01-12</c:v>
                </c:pt>
                <c:pt idx="3">
                  <c:v>2024-01-13</c:v>
                </c:pt>
                <c:pt idx="4">
                  <c:v>2024-01-16</c:v>
                </c:pt>
                <c:pt idx="5">
                  <c:v>2024-01-10</c:v>
                </c:pt>
                <c:pt idx="6">
                  <c:v>2024-01-08</c:v>
                </c:pt>
                <c:pt idx="7">
                  <c:v>2024-01-09</c:v>
                </c:pt>
                <c:pt idx="8">
                  <c:v>2024-01-07</c:v>
                </c:pt>
                <c:pt idx="9">
                  <c:v>2024-01-15</c:v>
                </c:pt>
                <c:pt idx="10">
                  <c:v>2024-01-14</c:v>
                </c:pt>
                <c:pt idx="11">
                  <c:v>2024-01-05</c:v>
                </c:pt>
                <c:pt idx="12">
                  <c:v>2024-01-11</c:v>
                </c:pt>
              </c:strCache>
            </c:strRef>
          </c:cat>
          <c:val>
            <c:numRef>
              <c:f>'Pivot 7'!$B$4:$B$17</c:f>
              <c:numCache>
                <c:formatCode>General</c:formatCode>
                <c:ptCount val="13"/>
                <c:pt idx="1">
                  <c:v>3000</c:v>
                </c:pt>
                <c:pt idx="2">
                  <c:v>3600</c:v>
                </c:pt>
                <c:pt idx="3">
                  <c:v>5000</c:v>
                </c:pt>
                <c:pt idx="4">
                  <c:v>6500</c:v>
                </c:pt>
                <c:pt idx="5">
                  <c:v>7000</c:v>
                </c:pt>
                <c:pt idx="6">
                  <c:v>8000</c:v>
                </c:pt>
                <c:pt idx="7">
                  <c:v>20000</c:v>
                </c:pt>
                <c:pt idx="8">
                  <c:v>25000</c:v>
                </c:pt>
                <c:pt idx="9">
                  <c:v>27000</c:v>
                </c:pt>
                <c:pt idx="10">
                  <c:v>36000</c:v>
                </c:pt>
                <c:pt idx="11">
                  <c:v>55000</c:v>
                </c:pt>
                <c:pt idx="12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D6-4064-B9A8-D406510C2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8080776"/>
        <c:axId val="1298083336"/>
      </c:barChart>
      <c:catAx>
        <c:axId val="1298080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083336"/>
        <c:crosses val="autoZero"/>
        <c:auto val="1"/>
        <c:lblAlgn val="ctr"/>
        <c:lblOffset val="100"/>
        <c:noMultiLvlLbl val="0"/>
      </c:catAx>
      <c:valAx>
        <c:axId val="129808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08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00B05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 7!PivotTable3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7'!$B$3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0B-491E-9D10-BD2DB97A91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0B-491E-9D10-BD2DB97A91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90B-491E-9D10-BD2DB97A91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90B-491E-9D10-BD2DB97A91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90B-491E-9D10-BD2DB97A91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90B-491E-9D10-BD2DB97A91A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90B-491E-9D10-BD2DB97A91A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90B-491E-9D10-BD2DB97A91A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90B-491E-9D10-BD2DB97A91A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90B-491E-9D10-BD2DB97A91A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90B-491E-9D10-BD2DB97A91A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90B-491E-9D10-BD2DB97A91A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90B-491E-9D10-BD2DB97A91AC}"/>
              </c:ext>
            </c:extLst>
          </c:dPt>
          <c:cat>
            <c:strRef>
              <c:f>'Pivot 7'!$A$4:$A$17</c:f>
              <c:strCache>
                <c:ptCount val="13"/>
                <c:pt idx="0">
                  <c:v>(blank)</c:v>
                </c:pt>
                <c:pt idx="1">
                  <c:v>2024-01-06</c:v>
                </c:pt>
                <c:pt idx="2">
                  <c:v>2024-01-12</c:v>
                </c:pt>
                <c:pt idx="3">
                  <c:v>2024-01-13</c:v>
                </c:pt>
                <c:pt idx="4">
                  <c:v>2024-01-16</c:v>
                </c:pt>
                <c:pt idx="5">
                  <c:v>2024-01-10</c:v>
                </c:pt>
                <c:pt idx="6">
                  <c:v>2024-01-08</c:v>
                </c:pt>
                <c:pt idx="7">
                  <c:v>2024-01-09</c:v>
                </c:pt>
                <c:pt idx="8">
                  <c:v>2024-01-07</c:v>
                </c:pt>
                <c:pt idx="9">
                  <c:v>2024-01-15</c:v>
                </c:pt>
                <c:pt idx="10">
                  <c:v>2024-01-14</c:v>
                </c:pt>
                <c:pt idx="11">
                  <c:v>2024-01-05</c:v>
                </c:pt>
                <c:pt idx="12">
                  <c:v>2024-01-11</c:v>
                </c:pt>
              </c:strCache>
            </c:strRef>
          </c:cat>
          <c:val>
            <c:numRef>
              <c:f>'Pivot 7'!$B$4:$B$17</c:f>
              <c:numCache>
                <c:formatCode>General</c:formatCode>
                <c:ptCount val="13"/>
                <c:pt idx="1">
                  <c:v>3000</c:v>
                </c:pt>
                <c:pt idx="2">
                  <c:v>3600</c:v>
                </c:pt>
                <c:pt idx="3">
                  <c:v>5000</c:v>
                </c:pt>
                <c:pt idx="4">
                  <c:v>6500</c:v>
                </c:pt>
                <c:pt idx="5">
                  <c:v>7000</c:v>
                </c:pt>
                <c:pt idx="6">
                  <c:v>8000</c:v>
                </c:pt>
                <c:pt idx="7">
                  <c:v>20000</c:v>
                </c:pt>
                <c:pt idx="8">
                  <c:v>25000</c:v>
                </c:pt>
                <c:pt idx="9">
                  <c:v>27000</c:v>
                </c:pt>
                <c:pt idx="10">
                  <c:v>36000</c:v>
                </c:pt>
                <c:pt idx="11">
                  <c:v>55000</c:v>
                </c:pt>
                <c:pt idx="12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90B-491E-9D10-BD2DB97A9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 3!PivotTable5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Total_Amount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3'!$A$4:$A$11</c:f>
              <c:strCache>
                <c:ptCount val="7"/>
                <c:pt idx="0">
                  <c:v>Chair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Sofa</c:v>
                </c:pt>
                <c:pt idx="5">
                  <c:v>Table</c:v>
                </c:pt>
                <c:pt idx="6">
                  <c:v>(blank)</c:v>
                </c:pt>
              </c:strCache>
            </c:strRef>
          </c:cat>
          <c:val>
            <c:numRef>
              <c:f>'Pivot 3'!$B$4:$B$11</c:f>
              <c:numCache>
                <c:formatCode>0.00%</c:formatCode>
                <c:ptCount val="7"/>
                <c:pt idx="0">
                  <c:v>5.0761421319796954E-2</c:v>
                </c:pt>
                <c:pt idx="1">
                  <c:v>2.5771183131589222E-2</c:v>
                </c:pt>
                <c:pt idx="2">
                  <c:v>0.44904334244435767</c:v>
                </c:pt>
                <c:pt idx="3">
                  <c:v>0.21866458414681764</c:v>
                </c:pt>
                <c:pt idx="4">
                  <c:v>0.20304568527918782</c:v>
                </c:pt>
                <c:pt idx="5">
                  <c:v>5.2713783678250685E-2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6-4D00-9DEE-F8CCD8F5CEE8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Count of Total_Amount2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3'!$A$4:$A$11</c:f>
              <c:strCache>
                <c:ptCount val="7"/>
                <c:pt idx="0">
                  <c:v>Chair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Sofa</c:v>
                </c:pt>
                <c:pt idx="5">
                  <c:v>Table</c:v>
                </c:pt>
                <c:pt idx="6">
                  <c:v>(blank)</c:v>
                </c:pt>
              </c:strCache>
            </c:strRef>
          </c:cat>
          <c:val>
            <c:numRef>
              <c:f>'Pivot 3'!$C$4:$C$11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96-4D00-9DEE-F8CCD8F5CEE8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Total_Amount2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3'!$A$4:$A$11</c:f>
              <c:strCache>
                <c:ptCount val="7"/>
                <c:pt idx="0">
                  <c:v>Chair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Sofa</c:v>
                </c:pt>
                <c:pt idx="5">
                  <c:v>Table</c:v>
                </c:pt>
                <c:pt idx="6">
                  <c:v>(blank)</c:v>
                </c:pt>
              </c:strCache>
            </c:strRef>
          </c:cat>
          <c:val>
            <c:numRef>
              <c:f>'Pivot 3'!$D$4:$D$11</c:f>
              <c:numCache>
                <c:formatCode>General</c:formatCode>
                <c:ptCount val="7"/>
                <c:pt idx="0">
                  <c:v>13000</c:v>
                </c:pt>
                <c:pt idx="1">
                  <c:v>6600</c:v>
                </c:pt>
                <c:pt idx="2">
                  <c:v>115000</c:v>
                </c:pt>
                <c:pt idx="3">
                  <c:v>56000</c:v>
                </c:pt>
                <c:pt idx="4">
                  <c:v>52000</c:v>
                </c:pt>
                <c:pt idx="5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96-4D00-9DEE-F8CCD8F5C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 3!PivotTable5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3'!$A$4:$A$11</c:f>
              <c:strCache>
                <c:ptCount val="7"/>
                <c:pt idx="0">
                  <c:v>Chair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Sofa</c:v>
                </c:pt>
                <c:pt idx="5">
                  <c:v>Table</c:v>
                </c:pt>
                <c:pt idx="6">
                  <c:v>(blank)</c:v>
                </c:pt>
              </c:strCache>
            </c:strRef>
          </c:cat>
          <c:val>
            <c:numRef>
              <c:f>'Pivot 3'!$B$4:$B$11</c:f>
              <c:numCache>
                <c:formatCode>0.00%</c:formatCode>
                <c:ptCount val="7"/>
                <c:pt idx="0">
                  <c:v>5.0761421319796954E-2</c:v>
                </c:pt>
                <c:pt idx="1">
                  <c:v>2.5771183131589222E-2</c:v>
                </c:pt>
                <c:pt idx="2">
                  <c:v>0.44904334244435767</c:v>
                </c:pt>
                <c:pt idx="3">
                  <c:v>0.21866458414681764</c:v>
                </c:pt>
                <c:pt idx="4">
                  <c:v>0.20304568527918782</c:v>
                </c:pt>
                <c:pt idx="5">
                  <c:v>5.2713783678250685E-2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7-4E6C-A23F-56F547926BF0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Count of Total_Amount2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3'!$A$4:$A$11</c:f>
              <c:strCache>
                <c:ptCount val="7"/>
                <c:pt idx="0">
                  <c:v>Chair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Sofa</c:v>
                </c:pt>
                <c:pt idx="5">
                  <c:v>Table</c:v>
                </c:pt>
                <c:pt idx="6">
                  <c:v>(blank)</c:v>
                </c:pt>
              </c:strCache>
            </c:strRef>
          </c:cat>
          <c:val>
            <c:numRef>
              <c:f>'Pivot 3'!$C$4:$C$11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E7-4E6C-A23F-56F547926BF0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Total_Amount2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3'!$A$4:$A$11</c:f>
              <c:strCache>
                <c:ptCount val="7"/>
                <c:pt idx="0">
                  <c:v>Chair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Sofa</c:v>
                </c:pt>
                <c:pt idx="5">
                  <c:v>Table</c:v>
                </c:pt>
                <c:pt idx="6">
                  <c:v>(blank)</c:v>
                </c:pt>
              </c:strCache>
            </c:strRef>
          </c:cat>
          <c:val>
            <c:numRef>
              <c:f>'Pivot 3'!$D$4:$D$11</c:f>
              <c:numCache>
                <c:formatCode>General</c:formatCode>
                <c:ptCount val="7"/>
                <c:pt idx="0">
                  <c:v>13000</c:v>
                </c:pt>
                <c:pt idx="1">
                  <c:v>6600</c:v>
                </c:pt>
                <c:pt idx="2">
                  <c:v>115000</c:v>
                </c:pt>
                <c:pt idx="3">
                  <c:v>56000</c:v>
                </c:pt>
                <c:pt idx="4">
                  <c:v>52000</c:v>
                </c:pt>
                <c:pt idx="5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E7-4E6C-A23F-56F54792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6844680"/>
        <c:axId val="88771591"/>
      </c:barChart>
      <c:catAx>
        <c:axId val="1346844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71591"/>
        <c:crosses val="autoZero"/>
        <c:auto val="1"/>
        <c:lblAlgn val="ctr"/>
        <c:lblOffset val="100"/>
        <c:noMultiLvlLbl val="0"/>
      </c:catAx>
      <c:valAx>
        <c:axId val="88771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44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 Pivot 4!PivotTable6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 Pivot 4'!$B$3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 Pivot 4'!$A$4:$A$7</c:f>
              <c:strCache>
                <c:ptCount val="3"/>
                <c:pt idx="0">
                  <c:v>Meera Nair</c:v>
                </c:pt>
                <c:pt idx="1">
                  <c:v>Ananya Sharma</c:v>
                </c:pt>
                <c:pt idx="2">
                  <c:v>Amit Das</c:v>
                </c:pt>
              </c:strCache>
            </c:strRef>
          </c:cat>
          <c:val>
            <c:numRef>
              <c:f>' Pivot 4'!$B$4:$B$7</c:f>
              <c:numCache>
                <c:formatCode>General</c:formatCode>
                <c:ptCount val="3"/>
                <c:pt idx="0">
                  <c:v>60000</c:v>
                </c:pt>
                <c:pt idx="1">
                  <c:v>55000</c:v>
                </c:pt>
                <c:pt idx="2">
                  <c:v>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F-486D-886B-DC5BFA776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 Pivot 4!PivotTable6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Pivot 4'!$A$4:$A$7</c:f>
              <c:strCache>
                <c:ptCount val="3"/>
                <c:pt idx="0">
                  <c:v>Meera Nair</c:v>
                </c:pt>
                <c:pt idx="1">
                  <c:v>Ananya Sharma</c:v>
                </c:pt>
                <c:pt idx="2">
                  <c:v>Amit Das</c:v>
                </c:pt>
              </c:strCache>
            </c:strRef>
          </c:cat>
          <c:val>
            <c:numRef>
              <c:f>' Pivot 4'!$B$4:$B$7</c:f>
              <c:numCache>
                <c:formatCode>General</c:formatCode>
                <c:ptCount val="3"/>
                <c:pt idx="0">
                  <c:v>60000</c:v>
                </c:pt>
                <c:pt idx="1">
                  <c:v>55000</c:v>
                </c:pt>
                <c:pt idx="2">
                  <c:v>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E-43FA-AA27-657B9C9F9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7208584"/>
        <c:axId val="1161970696"/>
      </c:barChart>
      <c:catAx>
        <c:axId val="1157208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970696"/>
        <c:crosses val="autoZero"/>
        <c:auto val="1"/>
        <c:lblAlgn val="ctr"/>
        <c:lblOffset val="100"/>
        <c:noMultiLvlLbl val="0"/>
      </c:catAx>
      <c:valAx>
        <c:axId val="1161970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208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 1!PivotTable3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1'!$B$3:$B$4</c:f>
              <c:strCache>
                <c:ptCount val="1"/>
                <c:pt idx="0">
                  <c:v>Chair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1'!$A$5:$A$18</c:f>
              <c:strCache>
                <c:ptCount val="13"/>
                <c:pt idx="0">
                  <c:v>Amit Das</c:v>
                </c:pt>
                <c:pt idx="1">
                  <c:v>Ananya Sharma</c:v>
                </c:pt>
                <c:pt idx="2">
                  <c:v>Arjun Mehta</c:v>
                </c:pt>
                <c:pt idx="3">
                  <c:v>Dev Sharma</c:v>
                </c:pt>
                <c:pt idx="4">
                  <c:v>Karan Singh</c:v>
                </c:pt>
                <c:pt idx="5">
                  <c:v>Meera Nair</c:v>
                </c:pt>
                <c:pt idx="6">
                  <c:v>Neha Jain</c:v>
                </c:pt>
                <c:pt idx="7">
                  <c:v>Priya Iyer</c:v>
                </c:pt>
                <c:pt idx="8">
                  <c:v>Rahul Roy</c:v>
                </c:pt>
                <c:pt idx="9">
                  <c:v>Riya Gupta</c:v>
                </c:pt>
                <c:pt idx="10">
                  <c:v>Rohan Verma</c:v>
                </c:pt>
                <c:pt idx="11">
                  <c:v>Simran Kaur</c:v>
                </c:pt>
                <c:pt idx="12">
                  <c:v>(blank)</c:v>
                </c:pt>
              </c:strCache>
            </c:strRef>
          </c:cat>
          <c:val>
            <c:numRef>
              <c:f>'Pivot 1'!$B$5:$B$18</c:f>
              <c:numCache>
                <c:formatCode>General</c:formatCode>
                <c:ptCount val="13"/>
                <c:pt idx="2">
                  <c:v>8000</c:v>
                </c:pt>
                <c:pt idx="9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CF-4F51-8264-EA36F4910B9F}"/>
            </c:ext>
          </c:extLst>
        </c:ser>
        <c:ser>
          <c:idx val="1"/>
          <c:order val="1"/>
          <c:tx>
            <c:strRef>
              <c:f>'Pivot 1'!$C$3:$C$4</c:f>
              <c:strCache>
                <c:ptCount val="1"/>
                <c:pt idx="0">
                  <c:v>Headphones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1'!$A$5:$A$18</c:f>
              <c:strCache>
                <c:ptCount val="13"/>
                <c:pt idx="0">
                  <c:v>Amit Das</c:v>
                </c:pt>
                <c:pt idx="1">
                  <c:v>Ananya Sharma</c:v>
                </c:pt>
                <c:pt idx="2">
                  <c:v>Arjun Mehta</c:v>
                </c:pt>
                <c:pt idx="3">
                  <c:v>Dev Sharma</c:v>
                </c:pt>
                <c:pt idx="4">
                  <c:v>Karan Singh</c:v>
                </c:pt>
                <c:pt idx="5">
                  <c:v>Meera Nair</c:v>
                </c:pt>
                <c:pt idx="6">
                  <c:v>Neha Jain</c:v>
                </c:pt>
                <c:pt idx="7">
                  <c:v>Priya Iyer</c:v>
                </c:pt>
                <c:pt idx="8">
                  <c:v>Rahul Roy</c:v>
                </c:pt>
                <c:pt idx="9">
                  <c:v>Riya Gupta</c:v>
                </c:pt>
                <c:pt idx="10">
                  <c:v>Rohan Verma</c:v>
                </c:pt>
                <c:pt idx="11">
                  <c:v>Simran Kaur</c:v>
                </c:pt>
                <c:pt idx="12">
                  <c:v>(blank)</c:v>
                </c:pt>
              </c:strCache>
            </c:strRef>
          </c:cat>
          <c:val>
            <c:numRef>
              <c:f>'Pivot 1'!$C$5:$C$18</c:f>
              <c:numCache>
                <c:formatCode>General</c:formatCode>
                <c:ptCount val="13"/>
                <c:pt idx="3">
                  <c:v>3600</c:v>
                </c:pt>
                <c:pt idx="10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CF-4F51-8264-EA36F4910B9F}"/>
            </c:ext>
          </c:extLst>
        </c:ser>
        <c:ser>
          <c:idx val="2"/>
          <c:order val="2"/>
          <c:tx>
            <c:strRef>
              <c:f>'Pivot 1'!$D$3:$D$4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1'!$A$5:$A$18</c:f>
              <c:strCache>
                <c:ptCount val="13"/>
                <c:pt idx="0">
                  <c:v>Amit Das</c:v>
                </c:pt>
                <c:pt idx="1">
                  <c:v>Ananya Sharma</c:v>
                </c:pt>
                <c:pt idx="2">
                  <c:v>Arjun Mehta</c:v>
                </c:pt>
                <c:pt idx="3">
                  <c:v>Dev Sharma</c:v>
                </c:pt>
                <c:pt idx="4">
                  <c:v>Karan Singh</c:v>
                </c:pt>
                <c:pt idx="5">
                  <c:v>Meera Nair</c:v>
                </c:pt>
                <c:pt idx="6">
                  <c:v>Neha Jain</c:v>
                </c:pt>
                <c:pt idx="7">
                  <c:v>Priya Iyer</c:v>
                </c:pt>
                <c:pt idx="8">
                  <c:v>Rahul Roy</c:v>
                </c:pt>
                <c:pt idx="9">
                  <c:v>Riya Gupta</c:v>
                </c:pt>
                <c:pt idx="10">
                  <c:v>Rohan Verma</c:v>
                </c:pt>
                <c:pt idx="11">
                  <c:v>Simran Kaur</c:v>
                </c:pt>
                <c:pt idx="12">
                  <c:v>(blank)</c:v>
                </c:pt>
              </c:strCache>
            </c:strRef>
          </c:cat>
          <c:val>
            <c:numRef>
              <c:f>'Pivot 1'!$D$5:$D$18</c:f>
              <c:numCache>
                <c:formatCode>General</c:formatCode>
                <c:ptCount val="13"/>
                <c:pt idx="1">
                  <c:v>55000</c:v>
                </c:pt>
                <c:pt idx="5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CF-4F51-8264-EA36F4910B9F}"/>
            </c:ext>
          </c:extLst>
        </c:ser>
        <c:ser>
          <c:idx val="3"/>
          <c:order val="3"/>
          <c:tx>
            <c:strRef>
              <c:f>'Pivot 1'!$E$3:$E$4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1'!$A$5:$A$18</c:f>
              <c:strCache>
                <c:ptCount val="13"/>
                <c:pt idx="0">
                  <c:v>Amit Das</c:v>
                </c:pt>
                <c:pt idx="1">
                  <c:v>Ananya Sharma</c:v>
                </c:pt>
                <c:pt idx="2">
                  <c:v>Arjun Mehta</c:v>
                </c:pt>
                <c:pt idx="3">
                  <c:v>Dev Sharma</c:v>
                </c:pt>
                <c:pt idx="4">
                  <c:v>Karan Singh</c:v>
                </c:pt>
                <c:pt idx="5">
                  <c:v>Meera Nair</c:v>
                </c:pt>
                <c:pt idx="6">
                  <c:v>Neha Jain</c:v>
                </c:pt>
                <c:pt idx="7">
                  <c:v>Priya Iyer</c:v>
                </c:pt>
                <c:pt idx="8">
                  <c:v>Rahul Roy</c:v>
                </c:pt>
                <c:pt idx="9">
                  <c:v>Riya Gupta</c:v>
                </c:pt>
                <c:pt idx="10">
                  <c:v>Rohan Verma</c:v>
                </c:pt>
                <c:pt idx="11">
                  <c:v>Simran Kaur</c:v>
                </c:pt>
                <c:pt idx="12">
                  <c:v>(blank)</c:v>
                </c:pt>
              </c:strCache>
            </c:strRef>
          </c:cat>
          <c:val>
            <c:numRef>
              <c:f>'Pivot 1'!$E$5:$E$18</c:f>
              <c:numCache>
                <c:formatCode>General</c:formatCode>
                <c:ptCount val="13"/>
                <c:pt idx="0">
                  <c:v>36000</c:v>
                </c:pt>
                <c:pt idx="7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CF-4F51-8264-EA36F4910B9F}"/>
            </c:ext>
          </c:extLst>
        </c:ser>
        <c:ser>
          <c:idx val="4"/>
          <c:order val="4"/>
          <c:tx>
            <c:strRef>
              <c:f>'Pivot 1'!$F$3:$F$4</c:f>
              <c:strCache>
                <c:ptCount val="1"/>
                <c:pt idx="0">
                  <c:v>Sofa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1'!$A$5:$A$18</c:f>
              <c:strCache>
                <c:ptCount val="13"/>
                <c:pt idx="0">
                  <c:v>Amit Das</c:v>
                </c:pt>
                <c:pt idx="1">
                  <c:v>Ananya Sharma</c:v>
                </c:pt>
                <c:pt idx="2">
                  <c:v>Arjun Mehta</c:v>
                </c:pt>
                <c:pt idx="3">
                  <c:v>Dev Sharma</c:v>
                </c:pt>
                <c:pt idx="4">
                  <c:v>Karan Singh</c:v>
                </c:pt>
                <c:pt idx="5">
                  <c:v>Meera Nair</c:v>
                </c:pt>
                <c:pt idx="6">
                  <c:v>Neha Jain</c:v>
                </c:pt>
                <c:pt idx="7">
                  <c:v>Priya Iyer</c:v>
                </c:pt>
                <c:pt idx="8">
                  <c:v>Rahul Roy</c:v>
                </c:pt>
                <c:pt idx="9">
                  <c:v>Riya Gupta</c:v>
                </c:pt>
                <c:pt idx="10">
                  <c:v>Rohan Verma</c:v>
                </c:pt>
                <c:pt idx="11">
                  <c:v>Simran Kaur</c:v>
                </c:pt>
                <c:pt idx="12">
                  <c:v>(blank)</c:v>
                </c:pt>
              </c:strCache>
            </c:strRef>
          </c:cat>
          <c:val>
            <c:numRef>
              <c:f>'Pivot 1'!$F$5:$F$18</c:f>
              <c:numCache>
                <c:formatCode>General</c:formatCode>
                <c:ptCount val="13"/>
                <c:pt idx="6">
                  <c:v>27000</c:v>
                </c:pt>
                <c:pt idx="11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CCF-4F51-8264-EA36F4910B9F}"/>
            </c:ext>
          </c:extLst>
        </c:ser>
        <c:ser>
          <c:idx val="5"/>
          <c:order val="5"/>
          <c:tx>
            <c:strRef>
              <c:f>'Pivot 1'!$G$3:$G$4</c:f>
              <c:strCache>
                <c:ptCount val="1"/>
                <c:pt idx="0">
                  <c:v>Table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1'!$A$5:$A$18</c:f>
              <c:strCache>
                <c:ptCount val="13"/>
                <c:pt idx="0">
                  <c:v>Amit Das</c:v>
                </c:pt>
                <c:pt idx="1">
                  <c:v>Ananya Sharma</c:v>
                </c:pt>
                <c:pt idx="2">
                  <c:v>Arjun Mehta</c:v>
                </c:pt>
                <c:pt idx="3">
                  <c:v>Dev Sharma</c:v>
                </c:pt>
                <c:pt idx="4">
                  <c:v>Karan Singh</c:v>
                </c:pt>
                <c:pt idx="5">
                  <c:v>Meera Nair</c:v>
                </c:pt>
                <c:pt idx="6">
                  <c:v>Neha Jain</c:v>
                </c:pt>
                <c:pt idx="7">
                  <c:v>Priya Iyer</c:v>
                </c:pt>
                <c:pt idx="8">
                  <c:v>Rahul Roy</c:v>
                </c:pt>
                <c:pt idx="9">
                  <c:v>Riya Gupta</c:v>
                </c:pt>
                <c:pt idx="10">
                  <c:v>Rohan Verma</c:v>
                </c:pt>
                <c:pt idx="11">
                  <c:v>Simran Kaur</c:v>
                </c:pt>
                <c:pt idx="12">
                  <c:v>(blank)</c:v>
                </c:pt>
              </c:strCache>
            </c:strRef>
          </c:cat>
          <c:val>
            <c:numRef>
              <c:f>'Pivot 1'!$G$5:$G$18</c:f>
              <c:numCache>
                <c:formatCode>General</c:formatCode>
                <c:ptCount val="13"/>
                <c:pt idx="4">
                  <c:v>7000</c:v>
                </c:pt>
                <c:pt idx="8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CCF-4F51-8264-EA36F4910B9F}"/>
            </c:ext>
          </c:extLst>
        </c:ser>
        <c:ser>
          <c:idx val="6"/>
          <c:order val="6"/>
          <c:tx>
            <c:strRef>
              <c:f>'Pivot 1'!$H$3:$H$4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1'!$A$5:$A$18</c:f>
              <c:strCache>
                <c:ptCount val="13"/>
                <c:pt idx="0">
                  <c:v>Amit Das</c:v>
                </c:pt>
                <c:pt idx="1">
                  <c:v>Ananya Sharma</c:v>
                </c:pt>
                <c:pt idx="2">
                  <c:v>Arjun Mehta</c:v>
                </c:pt>
                <c:pt idx="3">
                  <c:v>Dev Sharma</c:v>
                </c:pt>
                <c:pt idx="4">
                  <c:v>Karan Singh</c:v>
                </c:pt>
                <c:pt idx="5">
                  <c:v>Meera Nair</c:v>
                </c:pt>
                <c:pt idx="6">
                  <c:v>Neha Jain</c:v>
                </c:pt>
                <c:pt idx="7">
                  <c:v>Priya Iyer</c:v>
                </c:pt>
                <c:pt idx="8">
                  <c:v>Rahul Roy</c:v>
                </c:pt>
                <c:pt idx="9">
                  <c:v>Riya Gupta</c:v>
                </c:pt>
                <c:pt idx="10">
                  <c:v>Rohan Verma</c:v>
                </c:pt>
                <c:pt idx="11">
                  <c:v>Simran Kaur</c:v>
                </c:pt>
                <c:pt idx="12">
                  <c:v>(blank)</c:v>
                </c:pt>
              </c:strCache>
            </c:strRef>
          </c:cat>
          <c:val>
            <c:numRef>
              <c:f>'Pivot 1'!$H$5:$H$18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C-DCCF-4F51-8264-EA36F4910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494600"/>
        <c:axId val="311753736"/>
      </c:barChart>
      <c:catAx>
        <c:axId val="8494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753736"/>
        <c:crosses val="autoZero"/>
        <c:auto val="1"/>
        <c:lblAlgn val="ctr"/>
        <c:lblOffset val="100"/>
        <c:noMultiLvlLbl val="0"/>
      </c:catAx>
      <c:valAx>
        <c:axId val="3117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4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 5!PivotTable1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5'!$B$3</c:f>
              <c:strCache>
                <c:ptCount val="1"/>
                <c:pt idx="0">
                  <c:v>Count of Total_Amount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5'!$A$4:$A$10</c:f>
              <c:strCache>
                <c:ptCount val="6"/>
                <c:pt idx="0">
                  <c:v>Chennai</c:v>
                </c:pt>
                <c:pt idx="1">
                  <c:v>Delhi</c:v>
                </c:pt>
                <c:pt idx="2">
                  <c:v>Kolkata</c:v>
                </c:pt>
                <c:pt idx="3">
                  <c:v>Mumbai</c:v>
                </c:pt>
                <c:pt idx="4">
                  <c:v>Pune</c:v>
                </c:pt>
                <c:pt idx="5">
                  <c:v>(blank)</c:v>
                </c:pt>
              </c:strCache>
            </c:strRef>
          </c:cat>
          <c:val>
            <c:numRef>
              <c:f>'Pivot 5'!$B$4:$B$10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91-468E-BD17-B62184A0565E}"/>
            </c:ext>
          </c:extLst>
        </c:ser>
        <c:ser>
          <c:idx val="1"/>
          <c:order val="1"/>
          <c:tx>
            <c:strRef>
              <c:f>'Pivot 5'!$C$3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5'!$A$4:$A$10</c:f>
              <c:strCache>
                <c:ptCount val="6"/>
                <c:pt idx="0">
                  <c:v>Chennai</c:v>
                </c:pt>
                <c:pt idx="1">
                  <c:v>Delhi</c:v>
                </c:pt>
                <c:pt idx="2">
                  <c:v>Kolkata</c:v>
                </c:pt>
                <c:pt idx="3">
                  <c:v>Mumbai</c:v>
                </c:pt>
                <c:pt idx="4">
                  <c:v>Pune</c:v>
                </c:pt>
                <c:pt idx="5">
                  <c:v>(blank)</c:v>
                </c:pt>
              </c:strCache>
            </c:strRef>
          </c:cat>
          <c:val>
            <c:numRef>
              <c:f>'Pivot 5'!$C$4:$C$10</c:f>
              <c:numCache>
                <c:formatCode>General</c:formatCode>
                <c:ptCount val="6"/>
                <c:pt idx="0">
                  <c:v>60000</c:v>
                </c:pt>
                <c:pt idx="1">
                  <c:v>54000</c:v>
                </c:pt>
                <c:pt idx="2">
                  <c:v>42500</c:v>
                </c:pt>
                <c:pt idx="3">
                  <c:v>25000</c:v>
                </c:pt>
                <c:pt idx="4">
                  <c:v>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91-468E-BD17-B62184A05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80296"/>
        <c:axId val="490066440"/>
      </c:barChart>
      <c:catAx>
        <c:axId val="8780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066440"/>
        <c:crosses val="autoZero"/>
        <c:auto val="1"/>
        <c:lblAlgn val="ctr"/>
        <c:lblOffset val="100"/>
        <c:noMultiLvlLbl val="0"/>
      </c:catAx>
      <c:valAx>
        <c:axId val="49006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0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 5!PivotTable1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Count of Total_Amount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5'!$A$4:$A$10</c:f>
              <c:strCache>
                <c:ptCount val="6"/>
                <c:pt idx="0">
                  <c:v>Chennai</c:v>
                </c:pt>
                <c:pt idx="1">
                  <c:v>Delhi</c:v>
                </c:pt>
                <c:pt idx="2">
                  <c:v>Kolkata</c:v>
                </c:pt>
                <c:pt idx="3">
                  <c:v>Mumbai</c:v>
                </c:pt>
                <c:pt idx="4">
                  <c:v>Pune</c:v>
                </c:pt>
                <c:pt idx="5">
                  <c:v>(blank)</c:v>
                </c:pt>
              </c:strCache>
            </c:strRef>
          </c:cat>
          <c:val>
            <c:numRef>
              <c:f>'Pivot 5'!$B$4:$B$10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B-4E79-BACE-C5D7DF25F883}"/>
            </c:ext>
          </c:extLst>
        </c:ser>
        <c:ser>
          <c:idx val="1"/>
          <c:order val="1"/>
          <c:tx>
            <c:strRef>
              <c:f>'Pivot 5'!$C$3</c:f>
              <c:strCache>
                <c:ptCount val="1"/>
                <c:pt idx="0">
                  <c:v>Sum of Total_Amount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5'!$A$4:$A$10</c:f>
              <c:strCache>
                <c:ptCount val="6"/>
                <c:pt idx="0">
                  <c:v>Chennai</c:v>
                </c:pt>
                <c:pt idx="1">
                  <c:v>Delhi</c:v>
                </c:pt>
                <c:pt idx="2">
                  <c:v>Kolkata</c:v>
                </c:pt>
                <c:pt idx="3">
                  <c:v>Mumbai</c:v>
                </c:pt>
                <c:pt idx="4">
                  <c:v>Pune</c:v>
                </c:pt>
                <c:pt idx="5">
                  <c:v>(blank)</c:v>
                </c:pt>
              </c:strCache>
            </c:strRef>
          </c:cat>
          <c:val>
            <c:numRef>
              <c:f>'Pivot 5'!$C$4:$C$10</c:f>
              <c:numCache>
                <c:formatCode>General</c:formatCode>
                <c:ptCount val="6"/>
                <c:pt idx="0">
                  <c:v>60000</c:v>
                </c:pt>
                <c:pt idx="1">
                  <c:v>54000</c:v>
                </c:pt>
                <c:pt idx="2">
                  <c:v>42500</c:v>
                </c:pt>
                <c:pt idx="3">
                  <c:v>25000</c:v>
                </c:pt>
                <c:pt idx="4">
                  <c:v>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FB-4E79-BACE-C5D7DF25F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 6!PivotTable2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6'!$A$4:$A$17</c:f>
              <c:strCache>
                <c:ptCount val="13"/>
                <c:pt idx="0">
                  <c:v>Amit Das</c:v>
                </c:pt>
                <c:pt idx="1">
                  <c:v>Ananya Sharma</c:v>
                </c:pt>
                <c:pt idx="2">
                  <c:v>Arjun Mehta</c:v>
                </c:pt>
                <c:pt idx="3">
                  <c:v>Dev Sharma</c:v>
                </c:pt>
                <c:pt idx="4">
                  <c:v>Karan Singh</c:v>
                </c:pt>
                <c:pt idx="5">
                  <c:v>Meera Nair</c:v>
                </c:pt>
                <c:pt idx="6">
                  <c:v>Neha Jain</c:v>
                </c:pt>
                <c:pt idx="7">
                  <c:v>Priya Iyer</c:v>
                </c:pt>
                <c:pt idx="8">
                  <c:v>Rahul Roy</c:v>
                </c:pt>
                <c:pt idx="9">
                  <c:v>Riya Gupta</c:v>
                </c:pt>
                <c:pt idx="10">
                  <c:v>Rohan Verma</c:v>
                </c:pt>
                <c:pt idx="11">
                  <c:v>Simran Kaur</c:v>
                </c:pt>
                <c:pt idx="12">
                  <c:v>(blank)</c:v>
                </c:pt>
              </c:strCache>
            </c:strRef>
          </c:cat>
          <c:val>
            <c:numRef>
              <c:f>'Pivot 6'!$B$4:$B$17</c:f>
              <c:numCache>
                <c:formatCode>General</c:formatCode>
                <c:ptCount val="13"/>
                <c:pt idx="0">
                  <c:v>36000</c:v>
                </c:pt>
                <c:pt idx="1">
                  <c:v>55000</c:v>
                </c:pt>
                <c:pt idx="2">
                  <c:v>8000</c:v>
                </c:pt>
                <c:pt idx="3">
                  <c:v>3600</c:v>
                </c:pt>
                <c:pt idx="4">
                  <c:v>7000</c:v>
                </c:pt>
                <c:pt idx="5">
                  <c:v>60000</c:v>
                </c:pt>
                <c:pt idx="6">
                  <c:v>27000</c:v>
                </c:pt>
                <c:pt idx="7">
                  <c:v>20000</c:v>
                </c:pt>
                <c:pt idx="8">
                  <c:v>6500</c:v>
                </c:pt>
                <c:pt idx="9">
                  <c:v>5000</c:v>
                </c:pt>
                <c:pt idx="10">
                  <c:v>3000</c:v>
                </c:pt>
                <c:pt idx="11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3-4100-937D-8D95D965F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89320"/>
        <c:axId val="8608264"/>
      </c:barChart>
      <c:catAx>
        <c:axId val="8589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8264"/>
        <c:crosses val="autoZero"/>
        <c:auto val="1"/>
        <c:lblAlgn val="ctr"/>
        <c:lblOffset val="100"/>
        <c:noMultiLvlLbl val="0"/>
      </c:catAx>
      <c:valAx>
        <c:axId val="8608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9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 6!PivotTable2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6'!$B$3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6'!$A$4:$A$17</c:f>
              <c:strCache>
                <c:ptCount val="13"/>
                <c:pt idx="0">
                  <c:v>Amit Das</c:v>
                </c:pt>
                <c:pt idx="1">
                  <c:v>Ananya Sharma</c:v>
                </c:pt>
                <c:pt idx="2">
                  <c:v>Arjun Mehta</c:v>
                </c:pt>
                <c:pt idx="3">
                  <c:v>Dev Sharma</c:v>
                </c:pt>
                <c:pt idx="4">
                  <c:v>Karan Singh</c:v>
                </c:pt>
                <c:pt idx="5">
                  <c:v>Meera Nair</c:v>
                </c:pt>
                <c:pt idx="6">
                  <c:v>Neha Jain</c:v>
                </c:pt>
                <c:pt idx="7">
                  <c:v>Priya Iyer</c:v>
                </c:pt>
                <c:pt idx="8">
                  <c:v>Rahul Roy</c:v>
                </c:pt>
                <c:pt idx="9">
                  <c:v>Riya Gupta</c:v>
                </c:pt>
                <c:pt idx="10">
                  <c:v>Rohan Verma</c:v>
                </c:pt>
                <c:pt idx="11">
                  <c:v>Simran Kaur</c:v>
                </c:pt>
                <c:pt idx="12">
                  <c:v>(blank)</c:v>
                </c:pt>
              </c:strCache>
            </c:strRef>
          </c:cat>
          <c:val>
            <c:numRef>
              <c:f>'Pivot 6'!$B$4:$B$17</c:f>
              <c:numCache>
                <c:formatCode>General</c:formatCode>
                <c:ptCount val="13"/>
                <c:pt idx="0">
                  <c:v>36000</c:v>
                </c:pt>
                <c:pt idx="1">
                  <c:v>55000</c:v>
                </c:pt>
                <c:pt idx="2">
                  <c:v>8000</c:v>
                </c:pt>
                <c:pt idx="3">
                  <c:v>3600</c:v>
                </c:pt>
                <c:pt idx="4">
                  <c:v>7000</c:v>
                </c:pt>
                <c:pt idx="5">
                  <c:v>60000</c:v>
                </c:pt>
                <c:pt idx="6">
                  <c:v>27000</c:v>
                </c:pt>
                <c:pt idx="7">
                  <c:v>20000</c:v>
                </c:pt>
                <c:pt idx="8">
                  <c:v>6500</c:v>
                </c:pt>
                <c:pt idx="9">
                  <c:v>5000</c:v>
                </c:pt>
                <c:pt idx="10">
                  <c:v>3000</c:v>
                </c:pt>
                <c:pt idx="11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A-45B2-BBCB-7A8B967ED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 7!PivotTable3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rgbClr val="FF0000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rgbClr val="E26B0A"/>
            </a:solidFill>
            <a:prstDash val="solid"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7'!$B$3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FF0000"/>
              </a:solidFill>
              <a:prstDash val="solid"/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E26B0A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D46D-49A2-9DD3-3A2678DB9341}"/>
              </c:ext>
            </c:extLst>
          </c:dPt>
          <c:cat>
            <c:strRef>
              <c:f>'Pivot 7'!$A$4:$A$17</c:f>
              <c:strCache>
                <c:ptCount val="13"/>
                <c:pt idx="0">
                  <c:v>(blank)</c:v>
                </c:pt>
                <c:pt idx="1">
                  <c:v>2024-01-06</c:v>
                </c:pt>
                <c:pt idx="2">
                  <c:v>2024-01-12</c:v>
                </c:pt>
                <c:pt idx="3">
                  <c:v>2024-01-13</c:v>
                </c:pt>
                <c:pt idx="4">
                  <c:v>2024-01-16</c:v>
                </c:pt>
                <c:pt idx="5">
                  <c:v>2024-01-10</c:v>
                </c:pt>
                <c:pt idx="6">
                  <c:v>2024-01-08</c:v>
                </c:pt>
                <c:pt idx="7">
                  <c:v>2024-01-09</c:v>
                </c:pt>
                <c:pt idx="8">
                  <c:v>2024-01-07</c:v>
                </c:pt>
                <c:pt idx="9">
                  <c:v>2024-01-15</c:v>
                </c:pt>
                <c:pt idx="10">
                  <c:v>2024-01-14</c:v>
                </c:pt>
                <c:pt idx="11">
                  <c:v>2024-01-05</c:v>
                </c:pt>
                <c:pt idx="12">
                  <c:v>2024-01-11</c:v>
                </c:pt>
              </c:strCache>
            </c:strRef>
          </c:cat>
          <c:val>
            <c:numRef>
              <c:f>'Pivot 7'!$B$4:$B$17</c:f>
              <c:numCache>
                <c:formatCode>General</c:formatCode>
                <c:ptCount val="13"/>
                <c:pt idx="1">
                  <c:v>3000</c:v>
                </c:pt>
                <c:pt idx="2">
                  <c:v>3600</c:v>
                </c:pt>
                <c:pt idx="3">
                  <c:v>5000</c:v>
                </c:pt>
                <c:pt idx="4">
                  <c:v>6500</c:v>
                </c:pt>
                <c:pt idx="5">
                  <c:v>7000</c:v>
                </c:pt>
                <c:pt idx="6">
                  <c:v>8000</c:v>
                </c:pt>
                <c:pt idx="7">
                  <c:v>20000</c:v>
                </c:pt>
                <c:pt idx="8">
                  <c:v>25000</c:v>
                </c:pt>
                <c:pt idx="9">
                  <c:v>27000</c:v>
                </c:pt>
                <c:pt idx="10">
                  <c:v>36000</c:v>
                </c:pt>
                <c:pt idx="11">
                  <c:v>55000</c:v>
                </c:pt>
                <c:pt idx="12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D-49A2-9DD3-3A2678DB9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8080776"/>
        <c:axId val="1298083336"/>
      </c:barChart>
      <c:catAx>
        <c:axId val="1298080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083336"/>
        <c:crosses val="autoZero"/>
        <c:auto val="1"/>
        <c:lblAlgn val="ctr"/>
        <c:lblOffset val="100"/>
        <c:noMultiLvlLbl val="0"/>
      </c:catAx>
      <c:valAx>
        <c:axId val="129808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08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00B05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 7!PivotTable3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7'!$B$3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7'!$A$4:$A$17</c:f>
              <c:strCache>
                <c:ptCount val="13"/>
                <c:pt idx="0">
                  <c:v>(blank)</c:v>
                </c:pt>
                <c:pt idx="1">
                  <c:v>2024-01-06</c:v>
                </c:pt>
                <c:pt idx="2">
                  <c:v>2024-01-12</c:v>
                </c:pt>
                <c:pt idx="3">
                  <c:v>2024-01-13</c:v>
                </c:pt>
                <c:pt idx="4">
                  <c:v>2024-01-16</c:v>
                </c:pt>
                <c:pt idx="5">
                  <c:v>2024-01-10</c:v>
                </c:pt>
                <c:pt idx="6">
                  <c:v>2024-01-08</c:v>
                </c:pt>
                <c:pt idx="7">
                  <c:v>2024-01-09</c:v>
                </c:pt>
                <c:pt idx="8">
                  <c:v>2024-01-07</c:v>
                </c:pt>
                <c:pt idx="9">
                  <c:v>2024-01-15</c:v>
                </c:pt>
                <c:pt idx="10">
                  <c:v>2024-01-14</c:v>
                </c:pt>
                <c:pt idx="11">
                  <c:v>2024-01-05</c:v>
                </c:pt>
                <c:pt idx="12">
                  <c:v>2024-01-11</c:v>
                </c:pt>
              </c:strCache>
            </c:strRef>
          </c:cat>
          <c:val>
            <c:numRef>
              <c:f>'Pivot 7'!$B$4:$B$17</c:f>
              <c:numCache>
                <c:formatCode>General</c:formatCode>
                <c:ptCount val="13"/>
                <c:pt idx="1">
                  <c:v>3000</c:v>
                </c:pt>
                <c:pt idx="2">
                  <c:v>3600</c:v>
                </c:pt>
                <c:pt idx="3">
                  <c:v>5000</c:v>
                </c:pt>
                <c:pt idx="4">
                  <c:v>6500</c:v>
                </c:pt>
                <c:pt idx="5">
                  <c:v>7000</c:v>
                </c:pt>
                <c:pt idx="6">
                  <c:v>8000</c:v>
                </c:pt>
                <c:pt idx="7">
                  <c:v>20000</c:v>
                </c:pt>
                <c:pt idx="8">
                  <c:v>25000</c:v>
                </c:pt>
                <c:pt idx="9">
                  <c:v>27000</c:v>
                </c:pt>
                <c:pt idx="10">
                  <c:v>36000</c:v>
                </c:pt>
                <c:pt idx="11">
                  <c:v>55000</c:v>
                </c:pt>
                <c:pt idx="12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4-4E7C-97DB-DB3496B10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466725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FA3869-0DDE-4B2B-82C8-7A0467694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171450</xdr:colOff>
      <xdr:row>0</xdr:row>
      <xdr:rowOff>171450</xdr:rowOff>
    </xdr:from>
    <xdr:to>
      <xdr:col>18</xdr:col>
      <xdr:colOff>476250</xdr:colOff>
      <xdr:row>13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AB4891-4351-4531-99E0-D69C3F824A08}"/>
            </a:ext>
            <a:ext uri="{147F2762-F138-4A5C-976F-8EAC2B608ADB}">
              <a16:predDERef xmlns:a16="http://schemas.microsoft.com/office/drawing/2014/main" pred="{02FA3869-0DDE-4B2B-82C8-7A0467694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133350</xdr:colOff>
      <xdr:row>15</xdr:row>
      <xdr:rowOff>104775</xdr:rowOff>
    </xdr:from>
    <xdr:to>
      <xdr:col>6</xdr:col>
      <xdr:colOff>257175</xdr:colOff>
      <xdr:row>25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60444A-9B64-4BDB-8A5F-3F2B2FF4B8C0}"/>
            </a:ext>
            <a:ext uri="{147F2762-F138-4A5C-976F-8EAC2B608ADB}">
              <a16:predDERef xmlns:a16="http://schemas.microsoft.com/office/drawing/2014/main" pred="{F4AB4891-4351-4531-99E0-D69C3F824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200025</xdr:colOff>
      <xdr:row>14</xdr:row>
      <xdr:rowOff>9525</xdr:rowOff>
    </xdr:from>
    <xdr:to>
      <xdr:col>17</xdr:col>
      <xdr:colOff>333375</xdr:colOff>
      <xdr:row>25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934CAE-8999-4A75-807D-9FFAB3548FDE}"/>
            </a:ext>
            <a:ext uri="{147F2762-F138-4A5C-976F-8EAC2B608ADB}">
              <a16:predDERef xmlns:a16="http://schemas.microsoft.com/office/drawing/2014/main" pred="{9C60444A-9B64-4BDB-8A5F-3F2B2FF4B8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38100</xdr:colOff>
      <xdr:row>79</xdr:row>
      <xdr:rowOff>57150</xdr:rowOff>
    </xdr:from>
    <xdr:to>
      <xdr:col>16</xdr:col>
      <xdr:colOff>342900</xdr:colOff>
      <xdr:row>90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780F34-CACA-4747-8B33-D11E075F58CB}"/>
            </a:ext>
            <a:ext uri="{147F2762-F138-4A5C-976F-8EAC2B608ADB}">
              <a16:predDERef xmlns:a16="http://schemas.microsoft.com/office/drawing/2014/main" pred="{A7934CAE-8999-4A75-807D-9FFAB3548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85725</xdr:colOff>
      <xdr:row>25</xdr:row>
      <xdr:rowOff>19050</xdr:rowOff>
    </xdr:from>
    <xdr:to>
      <xdr:col>7</xdr:col>
      <xdr:colOff>390525</xdr:colOff>
      <xdr:row>38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11D2D1-040F-41A4-A3D7-BB2ED4433BB6}"/>
            </a:ext>
            <a:ext uri="{147F2762-F138-4A5C-976F-8EAC2B608ADB}">
              <a16:predDERef xmlns:a16="http://schemas.microsoft.com/office/drawing/2014/main" pred="{73780F34-CACA-4747-8B33-D11E075F58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466725</xdr:colOff>
      <xdr:row>21</xdr:row>
      <xdr:rowOff>95250</xdr:rowOff>
    </xdr:from>
    <xdr:to>
      <xdr:col>12</xdr:col>
      <xdr:colOff>495300</xdr:colOff>
      <xdr:row>35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46F205D-3CE7-46CC-8AF6-0732BDB0D82F}"/>
            </a:ext>
            <a:ext uri="{147F2762-F138-4A5C-976F-8EAC2B608ADB}">
              <a16:predDERef xmlns:a16="http://schemas.microsoft.com/office/drawing/2014/main" pred="{0A11D2D1-040F-41A4-A3D7-BB2ED4433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342900</xdr:colOff>
      <xdr:row>80</xdr:row>
      <xdr:rowOff>47625</xdr:rowOff>
    </xdr:from>
    <xdr:to>
      <xdr:col>8</xdr:col>
      <xdr:colOff>38100</xdr:colOff>
      <xdr:row>93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67400C0-2DA6-4AAA-B065-40DE078D2193}"/>
            </a:ext>
            <a:ext uri="{147F2762-F138-4A5C-976F-8EAC2B608ADB}">
              <a16:predDERef xmlns:a16="http://schemas.microsoft.com/office/drawing/2014/main" pred="{246F205D-3CE7-46CC-8AF6-0732BDB0D8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39</xdr:row>
      <xdr:rowOff>133350</xdr:rowOff>
    </xdr:from>
    <xdr:to>
      <xdr:col>6</xdr:col>
      <xdr:colOff>28575</xdr:colOff>
      <xdr:row>54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77A48AC-5012-4421-B238-93E75847FD01}"/>
            </a:ext>
            <a:ext uri="{147F2762-F138-4A5C-976F-8EAC2B608ADB}">
              <a16:predDERef xmlns:a16="http://schemas.microsoft.com/office/drawing/2014/main" pred="{067400C0-2DA6-4AAA-B065-40DE078D2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361950</xdr:colOff>
      <xdr:row>38</xdr:row>
      <xdr:rowOff>171450</xdr:rowOff>
    </xdr:from>
    <xdr:to>
      <xdr:col>14</xdr:col>
      <xdr:colOff>57150</xdr:colOff>
      <xdr:row>53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E9E32B8-C2A1-46D9-82B4-7310E7CE646B}"/>
            </a:ext>
            <a:ext uri="{147F2762-F138-4A5C-976F-8EAC2B608ADB}">
              <a16:predDERef xmlns:a16="http://schemas.microsoft.com/office/drawing/2014/main" pred="{077A48AC-5012-4421-B238-93E75847F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190500</xdr:colOff>
      <xdr:row>59</xdr:row>
      <xdr:rowOff>161925</xdr:rowOff>
    </xdr:from>
    <xdr:to>
      <xdr:col>10</xdr:col>
      <xdr:colOff>257175</xdr:colOff>
      <xdr:row>74</xdr:row>
      <xdr:rowOff>47625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8CF056C-463C-4CE5-A007-7A3A7732DBED}"/>
            </a:ext>
            <a:ext uri="{147F2762-F138-4A5C-976F-8EAC2B608ADB}">
              <a16:predDERef xmlns:a16="http://schemas.microsoft.com/office/drawing/2014/main" pred="{BE9E32B8-C2A1-46D9-82B4-7310E7CE6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0</xdr:row>
      <xdr:rowOff>161925</xdr:rowOff>
    </xdr:from>
    <xdr:to>
      <xdr:col>11</xdr:col>
      <xdr:colOff>533400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4771B4-42E6-70D1-5659-ACCE2FA4B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12</xdr:row>
      <xdr:rowOff>104775</xdr:rowOff>
    </xdr:from>
    <xdr:to>
      <xdr:col>3</xdr:col>
      <xdr:colOff>1247775</xdr:colOff>
      <xdr:row>27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29806-D542-DA41-7DB8-9DC5FE396288}"/>
            </a:ext>
            <a:ext uri="{147F2762-F138-4A5C-976F-8EAC2B608ADB}">
              <a16:predDERef xmlns:a16="http://schemas.microsoft.com/office/drawing/2014/main" pred="{4D4771B4-42E6-70D1-5659-ACCE2FA4B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1</xdr:row>
      <xdr:rowOff>0</xdr:rowOff>
    </xdr:from>
    <xdr:to>
      <xdr:col>9</xdr:col>
      <xdr:colOff>561975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E99040-B4A6-03B4-AF1C-AE9FC097C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342900</xdr:colOff>
      <xdr:row>0</xdr:row>
      <xdr:rowOff>133350</xdr:rowOff>
    </xdr:from>
    <xdr:to>
      <xdr:col>17</xdr:col>
      <xdr:colOff>38100</xdr:colOff>
      <xdr:row>15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779008-D2BF-768E-F4F0-5EB09390DB3A}"/>
            </a:ext>
            <a:ext uri="{147F2762-F138-4A5C-976F-8EAC2B608ADB}">
              <a16:predDERef xmlns:a16="http://schemas.microsoft.com/office/drawing/2014/main" pred="{8BE99040-B4A6-03B4-AF1C-AE9FC097C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685800</xdr:colOff>
      <xdr:row>1</xdr:row>
      <xdr:rowOff>9525</xdr:rowOff>
    </xdr:from>
    <xdr:to>
      <xdr:col>15</xdr:col>
      <xdr:colOff>190500</xdr:colOff>
      <xdr:row>15</xdr:row>
      <xdr:rowOff>85725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68FBD5BA-68E8-4CA9-F0C3-ED0E39B34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133350</xdr:rowOff>
    </xdr:from>
    <xdr:to>
      <xdr:col>10</xdr:col>
      <xdr:colOff>561975</xdr:colOff>
      <xdr:row>15</xdr:row>
      <xdr:rowOff>28575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C0FCD15-7923-1176-03A8-146638540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0</xdr:row>
      <xdr:rowOff>114300</xdr:rowOff>
    </xdr:from>
    <xdr:to>
      <xdr:col>16</xdr:col>
      <xdr:colOff>38100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EA7E94-C31D-FACB-43C9-2D41CFD9E6E2}"/>
            </a:ext>
            <a:ext uri="{147F2762-F138-4A5C-976F-8EAC2B608ADB}">
              <a16:predDERef xmlns:a16="http://schemas.microsoft.com/office/drawing/2014/main" pred="{0C0FCD15-7923-1176-03A8-146638540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247650</xdr:colOff>
      <xdr:row>16</xdr:row>
      <xdr:rowOff>38100</xdr:rowOff>
    </xdr:from>
    <xdr:to>
      <xdr:col>8</xdr:col>
      <xdr:colOff>247650</xdr:colOff>
      <xdr:row>30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Date">
              <a:extLst>
                <a:ext uri="{FF2B5EF4-FFF2-40B4-BE49-F238E27FC236}">
                  <a16:creationId xmlns:a16="http://schemas.microsoft.com/office/drawing/2014/main" id="{960B2A4F-1A9B-A7A2-DE76-66E6251FB425}"/>
                </a:ext>
                <a:ext uri="{147F2762-F138-4A5C-976F-8EAC2B608ADB}">
                  <a16:predDERef xmlns:a16="http://schemas.microsoft.com/office/drawing/2014/main" pred="{44EA7E94-C31D-FACB-43C9-2D41CFD9E6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48250" y="29337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12</xdr:row>
      <xdr:rowOff>28575</xdr:rowOff>
    </xdr:from>
    <xdr:to>
      <xdr:col>2</xdr:col>
      <xdr:colOff>371475</xdr:colOff>
      <xdr:row>26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City">
              <a:extLst>
                <a:ext uri="{FF2B5EF4-FFF2-40B4-BE49-F238E27FC236}">
                  <a16:creationId xmlns:a16="http://schemas.microsoft.com/office/drawing/2014/main" id="{AEB1F684-FCB8-4DE6-A120-58A797A80344}"/>
                </a:ext>
                <a:ext uri="{147F2762-F138-4A5C-976F-8EAC2B608ADB}">
                  <a16:predDERef xmlns:a16="http://schemas.microsoft.com/office/drawing/2014/main" pred="{960B2A4F-1A9B-A7A2-DE76-66E6251FB4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0" y="22002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828675</xdr:colOff>
      <xdr:row>16</xdr:row>
      <xdr:rowOff>28575</xdr:rowOff>
    </xdr:from>
    <xdr:to>
      <xdr:col>5</xdr:col>
      <xdr:colOff>76200</xdr:colOff>
      <xdr:row>30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Product">
              <a:extLst>
                <a:ext uri="{FF2B5EF4-FFF2-40B4-BE49-F238E27FC236}">
                  <a16:creationId xmlns:a16="http://schemas.microsoft.com/office/drawing/2014/main" id="{5E010720-B84E-A10D-8805-3E7B409536D8}"/>
                </a:ext>
                <a:ext uri="{147F2762-F138-4A5C-976F-8EAC2B608ADB}">
                  <a16:predDERef xmlns:a16="http://schemas.microsoft.com/office/drawing/2014/main" pred="{AEB1F684-FCB8-4DE6-A120-58A797A803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" y="29241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1</xdr:row>
      <xdr:rowOff>104775</xdr:rowOff>
    </xdr:from>
    <xdr:to>
      <xdr:col>10</xdr:col>
      <xdr:colOff>352425</xdr:colOff>
      <xdr:row>15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15C74B-3564-D632-2E19-81292029E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314325</xdr:colOff>
      <xdr:row>0</xdr:row>
      <xdr:rowOff>133350</xdr:rowOff>
    </xdr:from>
    <xdr:to>
      <xdr:col>16</xdr:col>
      <xdr:colOff>342900</xdr:colOff>
      <xdr:row>15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A5A2EE-64AC-9B05-E895-16502C7C5DE4}"/>
            </a:ext>
            <a:ext uri="{147F2762-F138-4A5C-976F-8EAC2B608ADB}">
              <a16:predDERef xmlns:a16="http://schemas.microsoft.com/office/drawing/2014/main" pred="{2B15C74B-3564-D632-2E19-81292029E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1</xdr:row>
      <xdr:rowOff>171450</xdr:rowOff>
    </xdr:from>
    <xdr:to>
      <xdr:col>10</xdr:col>
      <xdr:colOff>171450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9CAFF4-BA14-111C-6C96-9BEC1FC02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390525</xdr:colOff>
      <xdr:row>0</xdr:row>
      <xdr:rowOff>142875</xdr:rowOff>
    </xdr:from>
    <xdr:to>
      <xdr:col>16</xdr:col>
      <xdr:colOff>457200</xdr:colOff>
      <xdr:row>15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10C547-DC9E-5DDB-04D7-6667142C7273}"/>
            </a:ext>
            <a:ext uri="{147F2762-F138-4A5C-976F-8EAC2B608ADB}">
              <a16:predDERef xmlns:a16="http://schemas.microsoft.com/office/drawing/2014/main" pred="{519CAFF4-BA14-111C-6C96-9BEC1FC02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3.93912372685" createdVersion="8" refreshedVersion="8" minRefreshableVersion="3" recordCount="15" xr:uid="{274F73F2-1C22-460B-A758-076E1037B148}">
  <cacheSource type="worksheet">
    <worksheetSource ref="A1:I1048576" sheet="Sheet1"/>
  </cacheSource>
  <cacheFields count="9">
    <cacheField name="Order_ID" numFmtId="0">
      <sharedItems containsString="0" containsBlank="1" containsNumber="1" containsInteger="1" minValue="1001" maxValue="1012" count="13">
        <n v="1001"/>
        <n v="1002"/>
        <n v="1003"/>
        <n v="1004"/>
        <n v="1005"/>
        <n v="1006"/>
        <n v="1007"/>
        <n v="1008"/>
        <n v="1009"/>
        <n v="1010"/>
        <n v="1011"/>
        <n v="1012"/>
        <m/>
      </sharedItems>
    </cacheField>
    <cacheField name="Date" numFmtId="0">
      <sharedItems containsBlank="1" count="13">
        <s v="2024-01-05"/>
        <s v="2024-01-06"/>
        <s v="2024-01-07"/>
        <s v="2024-01-08"/>
        <s v="2024-01-09"/>
        <s v="2024-01-10"/>
        <s v="2024-01-11"/>
        <s v="2024-01-12"/>
        <s v="2024-01-13"/>
        <s v="2024-01-14"/>
        <s v="2024-01-15"/>
        <s v="2024-01-16"/>
        <m/>
      </sharedItems>
    </cacheField>
    <cacheField name="Customer_Name" numFmtId="0">
      <sharedItems containsBlank="1" count="13">
        <s v="Ananya Sharma"/>
        <s v="Rohan Verma"/>
        <s v="Simran Kaur"/>
        <s v="Arjun Mehta"/>
        <s v="Priya Iyer"/>
        <s v="Karan Singh"/>
        <s v="Meera Nair"/>
        <s v="Dev Sharma"/>
        <s v="Riya Gupta"/>
        <s v="Amit Das"/>
        <s v="Neha Jain"/>
        <s v="Rahul Roy"/>
        <m/>
      </sharedItems>
    </cacheField>
    <cacheField name="City" numFmtId="0">
      <sharedItems containsBlank="1" count="6">
        <s v="Pune"/>
        <s v="Delhi"/>
        <s v="Mumbai"/>
        <s v="Chennai"/>
        <s v="Kolkata"/>
        <m/>
      </sharedItems>
    </cacheField>
    <cacheField name="Product" numFmtId="0">
      <sharedItems containsBlank="1" count="7">
        <s v="Laptop"/>
        <s v="Headphones"/>
        <s v="Sofa"/>
        <s v="Chair"/>
        <s v="Mobile"/>
        <s v="Table"/>
        <m/>
      </sharedItems>
    </cacheField>
    <cacheField name="Category" numFmtId="0">
      <sharedItems containsBlank="1" count="3">
        <s v="Electronics"/>
        <s v="Furniture"/>
        <m/>
      </sharedItems>
    </cacheField>
    <cacheField name="Quantity" numFmtId="0">
      <sharedItems containsString="0" containsBlank="1" containsNumber="1" containsInteger="1" minValue="1" maxValue="4"/>
    </cacheField>
    <cacheField name="Price" numFmtId="0">
      <sharedItems containsString="0" containsBlank="1" containsNumber="1" containsInteger="1" minValue="1200" maxValue="60000"/>
    </cacheField>
    <cacheField name="Total_Amount" numFmtId="0">
      <sharedItems containsString="0" containsBlank="1" containsNumber="1" containsInteger="1" minValue="3000" maxValue="60000"/>
    </cacheField>
  </cacheFields>
  <extLst>
    <ext xmlns:x14="http://schemas.microsoft.com/office/spreadsheetml/2009/9/main" uri="{725AE2AE-9491-48be-B2B4-4EB974FC3084}">
      <x14:pivotCacheDefinition pivotCacheId="8343200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x v="0"/>
    <x v="0"/>
    <x v="0"/>
    <n v="1"/>
    <n v="55000"/>
    <n v="55000"/>
  </r>
  <r>
    <x v="1"/>
    <x v="1"/>
    <x v="1"/>
    <x v="1"/>
    <x v="1"/>
    <x v="0"/>
    <n v="2"/>
    <n v="1500"/>
    <n v="3000"/>
  </r>
  <r>
    <x v="2"/>
    <x v="2"/>
    <x v="2"/>
    <x v="2"/>
    <x v="2"/>
    <x v="1"/>
    <n v="1"/>
    <n v="25000"/>
    <n v="25000"/>
  </r>
  <r>
    <x v="3"/>
    <x v="3"/>
    <x v="3"/>
    <x v="0"/>
    <x v="3"/>
    <x v="1"/>
    <n v="4"/>
    <n v="2000"/>
    <n v="8000"/>
  </r>
  <r>
    <x v="4"/>
    <x v="4"/>
    <x v="4"/>
    <x v="1"/>
    <x v="4"/>
    <x v="0"/>
    <n v="1"/>
    <n v="20000"/>
    <n v="20000"/>
  </r>
  <r>
    <x v="5"/>
    <x v="5"/>
    <x v="5"/>
    <x v="1"/>
    <x v="5"/>
    <x v="1"/>
    <n v="1"/>
    <n v="7000"/>
    <n v="7000"/>
  </r>
  <r>
    <x v="6"/>
    <x v="6"/>
    <x v="6"/>
    <x v="3"/>
    <x v="0"/>
    <x v="0"/>
    <n v="1"/>
    <n v="60000"/>
    <n v="60000"/>
  </r>
  <r>
    <x v="7"/>
    <x v="7"/>
    <x v="7"/>
    <x v="2"/>
    <x v="1"/>
    <x v="0"/>
    <n v="3"/>
    <n v="1200"/>
    <n v="3600"/>
  </r>
  <r>
    <x v="8"/>
    <x v="8"/>
    <x v="8"/>
    <x v="0"/>
    <x v="3"/>
    <x v="1"/>
    <n v="2"/>
    <n v="2500"/>
    <n v="5000"/>
  </r>
  <r>
    <x v="9"/>
    <x v="9"/>
    <x v="9"/>
    <x v="4"/>
    <x v="4"/>
    <x v="0"/>
    <n v="2"/>
    <n v="18000"/>
    <n v="36000"/>
  </r>
  <r>
    <x v="10"/>
    <x v="10"/>
    <x v="10"/>
    <x v="1"/>
    <x v="2"/>
    <x v="1"/>
    <n v="1"/>
    <n v="27000"/>
    <n v="27000"/>
  </r>
  <r>
    <x v="11"/>
    <x v="11"/>
    <x v="11"/>
    <x v="4"/>
    <x v="5"/>
    <x v="1"/>
    <n v="1"/>
    <n v="6500"/>
    <n v="6500"/>
  </r>
  <r>
    <x v="12"/>
    <x v="12"/>
    <x v="12"/>
    <x v="5"/>
    <x v="6"/>
    <x v="2"/>
    <m/>
    <m/>
    <m/>
  </r>
  <r>
    <x v="12"/>
    <x v="12"/>
    <x v="12"/>
    <x v="5"/>
    <x v="6"/>
    <x v="2"/>
    <m/>
    <m/>
    <m/>
  </r>
  <r>
    <x v="12"/>
    <x v="12"/>
    <x v="12"/>
    <x v="5"/>
    <x v="6"/>
    <x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9BD12-7BA3-42A1-9CB8-A8E1207895BE}" name="PivotTable5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D11" firstHeaderRow="0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3"/>
        <item x="1"/>
        <item x="0"/>
        <item x="4"/>
        <item x="2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Amount" fld="8" showDataAs="percentOfTotal" baseField="0" baseItem="0" numFmtId="10"/>
    <dataField name="Count of Total_Amount2" fld="8" subtotal="count" baseField="0" baseItem="0"/>
    <dataField name="Sum of Total_Amount2" fld="8" baseField="0" baseItem="0"/>
  </dataFields>
  <chartFormats count="11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7" format="1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2"/>
          </reference>
          <reference field="4" count="1" selected="0">
            <x v="4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2"/>
          </reference>
          <reference field="4" count="1" selected="0">
            <x v="5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2"/>
          </reference>
          <reference field="4" count="1" selected="0">
            <x v="6"/>
          </reference>
        </references>
      </pivotArea>
    </chartFormat>
    <chartFormat chart="8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8" format="3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8" format="40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8" format="41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8" format="42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8" format="4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44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  <chartFormat chart="8" format="45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8" format="46">
      <pivotArea type="data"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chartFormat>
    <chartFormat chart="8" format="47">
      <pivotArea type="data"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chartFormat>
    <chartFormat chart="8" format="48">
      <pivotArea type="data" outline="0" fieldPosition="0">
        <references count="2">
          <reference field="4294967294" count="1" selected="0">
            <x v="2"/>
          </reference>
          <reference field="4" count="1" selected="0">
            <x v="4"/>
          </reference>
        </references>
      </pivotArea>
    </chartFormat>
    <chartFormat chart="8" format="49">
      <pivotArea type="data" outline="0" fieldPosition="0">
        <references count="2">
          <reference field="4294967294" count="1" selected="0">
            <x v="2"/>
          </reference>
          <reference field="4" count="1" selected="0">
            <x v="5"/>
          </reference>
        </references>
      </pivotArea>
    </chartFormat>
    <chartFormat chart="8" format="50">
      <pivotArea type="data" outline="0" fieldPosition="0">
        <references count="2">
          <reference field="4294967294" count="1" selected="0">
            <x v="2"/>
          </reference>
          <reference field="4" count="1" selected="0">
            <x v="6"/>
          </reference>
        </references>
      </pivotArea>
    </chartFormat>
    <chartFormat chart="9" format="5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5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5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5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9" format="5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9" format="57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9" format="58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9" format="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60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9" format="61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9" format="62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9" format="63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9" format="64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9" format="65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9" format="66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9" format="6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68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  <chartFormat chart="9" format="69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9" format="70">
      <pivotArea type="data"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chartFormat>
    <chartFormat chart="9" format="71">
      <pivotArea type="data"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chartFormat>
    <chartFormat chart="9" format="72">
      <pivotArea type="data" outline="0" fieldPosition="0">
        <references count="2">
          <reference field="4294967294" count="1" selected="0">
            <x v="2"/>
          </reference>
          <reference field="4" count="1" selected="0">
            <x v="4"/>
          </reference>
        </references>
      </pivotArea>
    </chartFormat>
    <chartFormat chart="9" format="73">
      <pivotArea type="data" outline="0" fieldPosition="0">
        <references count="2">
          <reference field="4294967294" count="1" selected="0">
            <x v="2"/>
          </reference>
          <reference field="4" count="1" selected="0">
            <x v="5"/>
          </reference>
        </references>
      </pivotArea>
    </chartFormat>
    <chartFormat chart="9" format="74">
      <pivotArea type="data" outline="0" fieldPosition="0">
        <references count="2">
          <reference field="4294967294" count="1" selected="0">
            <x v="2"/>
          </reference>
          <reference field="4" count="1" selected="0">
            <x v="6"/>
          </reference>
        </references>
      </pivotArea>
    </chartFormat>
    <chartFormat chart="10" format="7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7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7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7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0" format="80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0" format="8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0" format="82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0" format="8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4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10" format="85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10" format="86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10" format="87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10" format="88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10" format="89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10" format="90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10" format="9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92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  <chartFormat chart="10" format="93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10" format="94">
      <pivotArea type="data"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chartFormat>
    <chartFormat chart="10" format="95">
      <pivotArea type="data"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chartFormat>
    <chartFormat chart="10" format="96">
      <pivotArea type="data" outline="0" fieldPosition="0">
        <references count="2">
          <reference field="4294967294" count="1" selected="0">
            <x v="2"/>
          </reference>
          <reference field="4" count="1" selected="0">
            <x v="4"/>
          </reference>
        </references>
      </pivotArea>
    </chartFormat>
    <chartFormat chart="10" format="97">
      <pivotArea type="data" outline="0" fieldPosition="0">
        <references count="2">
          <reference field="4294967294" count="1" selected="0">
            <x v="2"/>
          </reference>
          <reference field="4" count="1" selected="0">
            <x v="5"/>
          </reference>
        </references>
      </pivotArea>
    </chartFormat>
    <chartFormat chart="10" format="98">
      <pivotArea type="data" outline="0" fieldPosition="0">
        <references count="2">
          <reference field="4294967294" count="1" selected="0">
            <x v="2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F8BA4A-0F5A-4250-83C9-498A50F07968}" name="PivotTable6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B7" firstHeaderRow="1" firstDataRow="1" firstDataCol="1"/>
  <pivotFields count="9">
    <pivotField compact="0" outline="0" showAll="0"/>
    <pivotField compact="0" outline="0" showAll="0"/>
    <pivotField axis="axisRow" compact="0" outline="0" showAll="0" measureFilter="1" sortType="descending">
      <items count="14">
        <item x="12"/>
        <item x="2"/>
        <item x="1"/>
        <item x="8"/>
        <item x="11"/>
        <item x="4"/>
        <item x="10"/>
        <item x="6"/>
        <item x="5"/>
        <item x="7"/>
        <item x="3"/>
        <item x="0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4">
    <i>
      <x v="7"/>
    </i>
    <i>
      <x v="11"/>
    </i>
    <i>
      <x v="12"/>
    </i>
    <i t="grand">
      <x/>
    </i>
  </rowItems>
  <colItems count="1">
    <i/>
  </colItems>
  <dataFields count="1">
    <dataField name="Sum of Total_Amount" fld="8" baseField="0" baseItem="0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CEDDE5-76B7-49E3-AF78-16EF45D982A5}" name="PivotTable3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I18" firstHeaderRow="1" firstDataRow="2" firstDataCol="1"/>
  <pivotFields count="9">
    <pivotField compact="0" outline="0" showAll="0"/>
    <pivotField compact="0" outline="0" showAll="0"/>
    <pivotField axis="axisRow" compact="0" outline="0" showAll="0">
      <items count="14">
        <item x="9"/>
        <item x="0"/>
        <item x="3"/>
        <item x="7"/>
        <item x="5"/>
        <item x="6"/>
        <item x="10"/>
        <item x="4"/>
        <item x="11"/>
        <item x="8"/>
        <item x="1"/>
        <item x="2"/>
        <item x="12"/>
        <item t="default"/>
      </items>
    </pivotField>
    <pivotField compact="0" outline="0" showAll="0"/>
    <pivotField axis="axisCol" compact="0" outline="0" showAll="0">
      <items count="8">
        <item x="3"/>
        <item x="1"/>
        <item x="0"/>
        <item x="4"/>
        <item x="2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Total_Amount" fld="8" baseField="0" baseItem="0"/>
  </dataFields>
  <chartFormats count="224"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4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4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  <chartFormat chart="4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0"/>
          </reference>
        </references>
      </pivotArea>
    </chartFormat>
    <chartFormat chart="4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0"/>
          </reference>
        </references>
      </pivotArea>
    </chartFormat>
    <chartFormat chart="4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0"/>
          </reference>
        </references>
      </pivotArea>
    </chartFormat>
    <chartFormat chart="4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4" count="1" selected="0">
            <x v="0"/>
          </reference>
        </references>
      </pivotArea>
    </chartFormat>
    <chartFormat chart="4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4" count="1" selected="0">
            <x v="0"/>
          </reference>
        </references>
      </pivotArea>
    </chartFormat>
    <chartFormat chart="4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4" count="1" selected="0">
            <x v="0"/>
          </reference>
        </references>
      </pivotArea>
    </chartFormat>
    <chartFormat chart="4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4" count="1" selected="0">
            <x v="0"/>
          </reference>
        </references>
      </pivotArea>
    </chartFormat>
    <chartFormat chart="4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4" count="1" selected="0">
            <x v="0"/>
          </reference>
        </references>
      </pivotArea>
    </chartFormat>
    <chartFormat chart="4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4" count="1" selected="0">
            <x v="0"/>
          </reference>
        </references>
      </pivotArea>
    </chartFormat>
    <chartFormat chart="4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4" count="1" selected="0">
            <x v="0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4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4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  <chartFormat chart="4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1"/>
          </reference>
        </references>
      </pivotArea>
    </chartFormat>
    <chartFormat chart="4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1"/>
          </reference>
        </references>
      </pivotArea>
    </chartFormat>
    <chartFormat chart="4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1"/>
          </reference>
        </references>
      </pivotArea>
    </chartFormat>
    <chartFormat chart="4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4" count="1" selected="0">
            <x v="1"/>
          </reference>
        </references>
      </pivotArea>
    </chartFormat>
    <chartFormat chart="4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4" count="1" selected="0">
            <x v="1"/>
          </reference>
        </references>
      </pivotArea>
    </chartFormat>
    <chartFormat chart="4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4" count="1" selected="0">
            <x v="1"/>
          </reference>
        </references>
      </pivotArea>
    </chartFormat>
    <chartFormat chart="4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4" count="1" selected="0">
            <x v="1"/>
          </reference>
        </references>
      </pivotArea>
    </chartFormat>
    <chartFormat chart="4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4" count="1" selected="0">
            <x v="1"/>
          </reference>
        </references>
      </pivotArea>
    </chartFormat>
    <chartFormat chart="4" format="33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4" count="1" selected="0">
            <x v="1"/>
          </reference>
        </references>
      </pivotArea>
    </chartFormat>
    <chartFormat chart="4" format="34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4" count="1" selected="0">
            <x v="1"/>
          </reference>
        </references>
      </pivotArea>
    </chartFormat>
    <chartFormat chart="4" format="3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3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4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2"/>
          </reference>
        </references>
      </pivotArea>
    </chartFormat>
    <chartFormat chart="4" format="3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2"/>
          </reference>
        </references>
      </pivotArea>
    </chartFormat>
    <chartFormat chart="4" format="3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2"/>
          </reference>
        </references>
      </pivotArea>
    </chartFormat>
    <chartFormat chart="4" format="4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2"/>
          </reference>
        </references>
      </pivotArea>
    </chartFormat>
    <chartFormat chart="4" format="4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2"/>
          </reference>
        </references>
      </pivotArea>
    </chartFormat>
    <chartFormat chart="4" format="42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4" count="1" selected="0">
            <x v="2"/>
          </reference>
        </references>
      </pivotArea>
    </chartFormat>
    <chartFormat chart="4" format="43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4" count="1" selected="0">
            <x v="2"/>
          </reference>
        </references>
      </pivotArea>
    </chartFormat>
    <chartFormat chart="4" format="44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4" count="1" selected="0">
            <x v="2"/>
          </reference>
        </references>
      </pivotArea>
    </chartFormat>
    <chartFormat chart="4" format="45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4" count="1" selected="0">
            <x v="2"/>
          </reference>
        </references>
      </pivotArea>
    </chartFormat>
    <chartFormat chart="4" format="46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4" count="1" selected="0">
            <x v="2"/>
          </reference>
        </references>
      </pivotArea>
    </chartFormat>
    <chartFormat chart="4" format="47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4" count="1" selected="0">
            <x v="2"/>
          </reference>
        </references>
      </pivotArea>
    </chartFormat>
    <chartFormat chart="4" format="48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4" count="1" selected="0">
            <x v="2"/>
          </reference>
        </references>
      </pivotArea>
    </chartFormat>
    <chartFormat chart="4" format="4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5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3"/>
          </reference>
        </references>
      </pivotArea>
    </chartFormat>
    <chartFormat chart="4" format="5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3"/>
          </reference>
        </references>
      </pivotArea>
    </chartFormat>
    <chartFormat chart="4" format="5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3"/>
          </reference>
        </references>
      </pivotArea>
    </chartFormat>
    <chartFormat chart="4" format="5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3"/>
          </reference>
        </references>
      </pivotArea>
    </chartFormat>
    <chartFormat chart="4" format="5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3"/>
          </reference>
        </references>
      </pivotArea>
    </chartFormat>
    <chartFormat chart="4" format="55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3"/>
          </reference>
        </references>
      </pivotArea>
    </chartFormat>
    <chartFormat chart="4" format="56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4" count="1" selected="0">
            <x v="3"/>
          </reference>
        </references>
      </pivotArea>
    </chartFormat>
    <chartFormat chart="4" format="57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4" count="1" selected="0">
            <x v="3"/>
          </reference>
        </references>
      </pivotArea>
    </chartFormat>
    <chartFormat chart="4" format="58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4" count="1" selected="0">
            <x v="3"/>
          </reference>
        </references>
      </pivotArea>
    </chartFormat>
    <chartFormat chart="4" format="59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4" count="1" selected="0">
            <x v="3"/>
          </reference>
        </references>
      </pivotArea>
    </chartFormat>
    <chartFormat chart="4" format="60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4" count="1" selected="0">
            <x v="3"/>
          </reference>
        </references>
      </pivotArea>
    </chartFormat>
    <chartFormat chart="4" format="61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4" count="1" selected="0">
            <x v="3"/>
          </reference>
        </references>
      </pivotArea>
    </chartFormat>
    <chartFormat chart="4" format="62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4" count="1" selected="0">
            <x v="3"/>
          </reference>
        </references>
      </pivotArea>
    </chartFormat>
    <chartFormat chart="4" format="6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6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4"/>
          </reference>
        </references>
      </pivotArea>
    </chartFormat>
    <chartFormat chart="4" format="6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4"/>
          </reference>
        </references>
      </pivotArea>
    </chartFormat>
    <chartFormat chart="4" format="6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4"/>
          </reference>
        </references>
      </pivotArea>
    </chartFormat>
    <chartFormat chart="4" format="6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4"/>
          </reference>
        </references>
      </pivotArea>
    </chartFormat>
    <chartFormat chart="4" format="68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4"/>
          </reference>
        </references>
      </pivotArea>
    </chartFormat>
    <chartFormat chart="4" format="69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4"/>
          </reference>
        </references>
      </pivotArea>
    </chartFormat>
    <chartFormat chart="4" format="70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4" count="1" selected="0">
            <x v="4"/>
          </reference>
        </references>
      </pivotArea>
    </chartFormat>
    <chartFormat chart="4" format="7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4" count="1" selected="0">
            <x v="4"/>
          </reference>
        </references>
      </pivotArea>
    </chartFormat>
    <chartFormat chart="4" format="72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4" count="1" selected="0">
            <x v="4"/>
          </reference>
        </references>
      </pivotArea>
    </chartFormat>
    <chartFormat chart="4" format="73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4" count="1" selected="0">
            <x v="4"/>
          </reference>
        </references>
      </pivotArea>
    </chartFormat>
    <chartFormat chart="4" format="74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4" count="1" selected="0">
            <x v="4"/>
          </reference>
        </references>
      </pivotArea>
    </chartFormat>
    <chartFormat chart="4" format="75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4" count="1" selected="0">
            <x v="4"/>
          </reference>
        </references>
      </pivotArea>
    </chartFormat>
    <chartFormat chart="4" format="76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4" count="1" selected="0">
            <x v="4"/>
          </reference>
        </references>
      </pivotArea>
    </chartFormat>
    <chartFormat chart="4" format="7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4" format="7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5"/>
          </reference>
        </references>
      </pivotArea>
    </chartFormat>
    <chartFormat chart="4" format="7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5"/>
          </reference>
        </references>
      </pivotArea>
    </chartFormat>
    <chartFormat chart="4" format="8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</references>
      </pivotArea>
    </chartFormat>
    <chartFormat chart="4" format="8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5"/>
          </reference>
        </references>
      </pivotArea>
    </chartFormat>
    <chartFormat chart="4" format="82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5"/>
          </reference>
        </references>
      </pivotArea>
    </chartFormat>
    <chartFormat chart="4" format="83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5"/>
          </reference>
        </references>
      </pivotArea>
    </chartFormat>
    <chartFormat chart="4" format="84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4" count="1" selected="0">
            <x v="5"/>
          </reference>
        </references>
      </pivotArea>
    </chartFormat>
    <chartFormat chart="4" format="85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4" count="1" selected="0">
            <x v="5"/>
          </reference>
        </references>
      </pivotArea>
    </chartFormat>
    <chartFormat chart="4" format="86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4" count="1" selected="0">
            <x v="5"/>
          </reference>
        </references>
      </pivotArea>
    </chartFormat>
    <chartFormat chart="4" format="87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4" count="1" selected="0">
            <x v="5"/>
          </reference>
        </references>
      </pivotArea>
    </chartFormat>
    <chartFormat chart="4" format="88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4" count="1" selected="0">
            <x v="5"/>
          </reference>
        </references>
      </pivotArea>
    </chartFormat>
    <chartFormat chart="4" format="89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4" count="1" selected="0">
            <x v="5"/>
          </reference>
        </references>
      </pivotArea>
    </chartFormat>
    <chartFormat chart="4" format="90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4" count="1" selected="0">
            <x v="5"/>
          </reference>
        </references>
      </pivotArea>
    </chartFormat>
    <chartFormat chart="4" format="9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4" format="9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6"/>
          </reference>
        </references>
      </pivotArea>
    </chartFormat>
    <chartFormat chart="4" format="9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6"/>
          </reference>
        </references>
      </pivotArea>
    </chartFormat>
    <chartFormat chart="4" format="9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6"/>
          </reference>
        </references>
      </pivotArea>
    </chartFormat>
    <chartFormat chart="4" format="9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6"/>
          </reference>
        </references>
      </pivotArea>
    </chartFormat>
    <chartFormat chart="4" format="9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6"/>
          </reference>
        </references>
      </pivotArea>
    </chartFormat>
    <chartFormat chart="4" format="97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6"/>
          </reference>
        </references>
      </pivotArea>
    </chartFormat>
    <chartFormat chart="4" format="98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4" count="1" selected="0">
            <x v="6"/>
          </reference>
        </references>
      </pivotArea>
    </chartFormat>
    <chartFormat chart="4" format="99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4" count="1" selected="0">
            <x v="6"/>
          </reference>
        </references>
      </pivotArea>
    </chartFormat>
    <chartFormat chart="4" format="100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4" count="1" selected="0">
            <x v="6"/>
          </reference>
        </references>
      </pivotArea>
    </chartFormat>
    <chartFormat chart="4" format="10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4" count="1" selected="0">
            <x v="6"/>
          </reference>
        </references>
      </pivotArea>
    </chartFormat>
    <chartFormat chart="4" format="102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4" count="1" selected="0">
            <x v="6"/>
          </reference>
        </references>
      </pivotArea>
    </chartFormat>
    <chartFormat chart="4" format="103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4" count="1" selected="0">
            <x v="6"/>
          </reference>
        </references>
      </pivotArea>
    </chartFormat>
    <chartFormat chart="4" format="104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4" count="1" selected="0">
            <x v="6"/>
          </reference>
        </references>
      </pivotArea>
    </chartFormat>
    <chartFormat chart="5" format="10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10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5" format="10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5" format="10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  <chartFormat chart="5" format="10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0"/>
          </reference>
        </references>
      </pivotArea>
    </chartFormat>
    <chartFormat chart="5" format="11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0"/>
          </reference>
        </references>
      </pivotArea>
    </chartFormat>
    <chartFormat chart="5" format="11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0"/>
          </reference>
        </references>
      </pivotArea>
    </chartFormat>
    <chartFormat chart="5" format="112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4" count="1" selected="0">
            <x v="0"/>
          </reference>
        </references>
      </pivotArea>
    </chartFormat>
    <chartFormat chart="5" format="113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4" count="1" selected="0">
            <x v="0"/>
          </reference>
        </references>
      </pivotArea>
    </chartFormat>
    <chartFormat chart="5" format="114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4" count="1" selected="0">
            <x v="0"/>
          </reference>
        </references>
      </pivotArea>
    </chartFormat>
    <chartFormat chart="5" format="115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4" count="1" selected="0">
            <x v="0"/>
          </reference>
        </references>
      </pivotArea>
    </chartFormat>
    <chartFormat chart="5" format="116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4" count="1" selected="0">
            <x v="0"/>
          </reference>
        </references>
      </pivotArea>
    </chartFormat>
    <chartFormat chart="5" format="117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4" count="1" selected="0">
            <x v="0"/>
          </reference>
        </references>
      </pivotArea>
    </chartFormat>
    <chartFormat chart="5" format="118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4" count="1" selected="0">
            <x v="0"/>
          </reference>
        </references>
      </pivotArea>
    </chartFormat>
    <chartFormat chart="5" format="1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12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5" format="12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5" format="12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  <chartFormat chart="5" format="12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1"/>
          </reference>
        </references>
      </pivotArea>
    </chartFormat>
    <chartFormat chart="5" format="12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1"/>
          </reference>
        </references>
      </pivotArea>
    </chartFormat>
    <chartFormat chart="5" format="125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1"/>
          </reference>
        </references>
      </pivotArea>
    </chartFormat>
    <chartFormat chart="5" format="126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4" count="1" selected="0">
            <x v="1"/>
          </reference>
        </references>
      </pivotArea>
    </chartFormat>
    <chartFormat chart="5" format="127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4" count="1" selected="0">
            <x v="1"/>
          </reference>
        </references>
      </pivotArea>
    </chartFormat>
    <chartFormat chart="5" format="128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4" count="1" selected="0">
            <x v="1"/>
          </reference>
        </references>
      </pivotArea>
    </chartFormat>
    <chartFormat chart="5" format="129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4" count="1" selected="0">
            <x v="1"/>
          </reference>
        </references>
      </pivotArea>
    </chartFormat>
    <chartFormat chart="5" format="130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4" count="1" selected="0">
            <x v="1"/>
          </reference>
        </references>
      </pivotArea>
    </chartFormat>
    <chartFormat chart="5" format="131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4" count="1" selected="0">
            <x v="1"/>
          </reference>
        </references>
      </pivotArea>
    </chartFormat>
    <chartFormat chart="5" format="132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4" count="1" selected="0">
            <x v="1"/>
          </reference>
        </references>
      </pivotArea>
    </chartFormat>
    <chartFormat chart="5" format="1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13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5" format="13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2"/>
          </reference>
        </references>
      </pivotArea>
    </chartFormat>
    <chartFormat chart="5" format="13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2"/>
          </reference>
        </references>
      </pivotArea>
    </chartFormat>
    <chartFormat chart="5" format="13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2"/>
          </reference>
        </references>
      </pivotArea>
    </chartFormat>
    <chartFormat chart="5" format="138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2"/>
          </reference>
        </references>
      </pivotArea>
    </chartFormat>
    <chartFormat chart="5" format="139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2"/>
          </reference>
        </references>
      </pivotArea>
    </chartFormat>
    <chartFormat chart="5" format="140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4" count="1" selected="0">
            <x v="2"/>
          </reference>
        </references>
      </pivotArea>
    </chartFormat>
    <chartFormat chart="5" format="14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4" count="1" selected="0">
            <x v="2"/>
          </reference>
        </references>
      </pivotArea>
    </chartFormat>
    <chartFormat chart="5" format="142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4" count="1" selected="0">
            <x v="2"/>
          </reference>
        </references>
      </pivotArea>
    </chartFormat>
    <chartFormat chart="5" format="143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4" count="1" selected="0">
            <x v="2"/>
          </reference>
        </references>
      </pivotArea>
    </chartFormat>
    <chartFormat chart="5" format="144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4" count="1" selected="0">
            <x v="2"/>
          </reference>
        </references>
      </pivotArea>
    </chartFormat>
    <chartFormat chart="5" format="145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4" count="1" selected="0">
            <x v="2"/>
          </reference>
        </references>
      </pivotArea>
    </chartFormat>
    <chartFormat chart="5" format="146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4" count="1" selected="0">
            <x v="2"/>
          </reference>
        </references>
      </pivotArea>
    </chartFormat>
    <chartFormat chart="5" format="14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14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3"/>
          </reference>
        </references>
      </pivotArea>
    </chartFormat>
    <chartFormat chart="5" format="14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3"/>
          </reference>
        </references>
      </pivotArea>
    </chartFormat>
    <chartFormat chart="5" format="15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3"/>
          </reference>
        </references>
      </pivotArea>
    </chartFormat>
    <chartFormat chart="5" format="15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3"/>
          </reference>
        </references>
      </pivotArea>
    </chartFormat>
    <chartFormat chart="5" format="152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3"/>
          </reference>
        </references>
      </pivotArea>
    </chartFormat>
    <chartFormat chart="5" format="153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3"/>
          </reference>
        </references>
      </pivotArea>
    </chartFormat>
    <chartFormat chart="5" format="154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4" count="1" selected="0">
            <x v="3"/>
          </reference>
        </references>
      </pivotArea>
    </chartFormat>
    <chartFormat chart="5" format="155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4" count="1" selected="0">
            <x v="3"/>
          </reference>
        </references>
      </pivotArea>
    </chartFormat>
    <chartFormat chart="5" format="156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4" count="1" selected="0">
            <x v="3"/>
          </reference>
        </references>
      </pivotArea>
    </chartFormat>
    <chartFormat chart="5" format="157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4" count="1" selected="0">
            <x v="3"/>
          </reference>
        </references>
      </pivotArea>
    </chartFormat>
    <chartFormat chart="5" format="158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4" count="1" selected="0">
            <x v="3"/>
          </reference>
        </references>
      </pivotArea>
    </chartFormat>
    <chartFormat chart="5" format="159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4" count="1" selected="0">
            <x v="3"/>
          </reference>
        </references>
      </pivotArea>
    </chartFormat>
    <chartFormat chart="5" format="160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4" count="1" selected="0">
            <x v="3"/>
          </reference>
        </references>
      </pivotArea>
    </chartFormat>
    <chartFormat chart="5" format="16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16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4"/>
          </reference>
        </references>
      </pivotArea>
    </chartFormat>
    <chartFormat chart="5" format="16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4"/>
          </reference>
        </references>
      </pivotArea>
    </chartFormat>
    <chartFormat chart="5" format="16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4"/>
          </reference>
        </references>
      </pivotArea>
    </chartFormat>
    <chartFormat chart="5" format="16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4"/>
          </reference>
        </references>
      </pivotArea>
    </chartFormat>
    <chartFormat chart="5" format="16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4"/>
          </reference>
        </references>
      </pivotArea>
    </chartFormat>
    <chartFormat chart="5" format="167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4"/>
          </reference>
        </references>
      </pivotArea>
    </chartFormat>
    <chartFormat chart="5" format="168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4" count="1" selected="0">
            <x v="4"/>
          </reference>
        </references>
      </pivotArea>
    </chartFormat>
    <chartFormat chart="5" format="169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4" count="1" selected="0">
            <x v="4"/>
          </reference>
        </references>
      </pivotArea>
    </chartFormat>
    <chartFormat chart="5" format="170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4" count="1" selected="0">
            <x v="4"/>
          </reference>
        </references>
      </pivotArea>
    </chartFormat>
    <chartFormat chart="5" format="17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4" count="1" selected="0">
            <x v="4"/>
          </reference>
        </references>
      </pivotArea>
    </chartFormat>
    <chartFormat chart="5" format="172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4" count="1" selected="0">
            <x v="4"/>
          </reference>
        </references>
      </pivotArea>
    </chartFormat>
    <chartFormat chart="5" format="173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4" count="1" selected="0">
            <x v="4"/>
          </reference>
        </references>
      </pivotArea>
    </chartFormat>
    <chartFormat chart="5" format="174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4" count="1" selected="0">
            <x v="4"/>
          </reference>
        </references>
      </pivotArea>
    </chartFormat>
    <chartFormat chart="5" format="17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5" format="17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5"/>
          </reference>
        </references>
      </pivotArea>
    </chartFormat>
    <chartFormat chart="5" format="17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5"/>
          </reference>
        </references>
      </pivotArea>
    </chartFormat>
    <chartFormat chart="5" format="17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</references>
      </pivotArea>
    </chartFormat>
    <chartFormat chart="5" format="17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5"/>
          </reference>
        </references>
      </pivotArea>
    </chartFormat>
    <chartFormat chart="5" format="18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5"/>
          </reference>
        </references>
      </pivotArea>
    </chartFormat>
    <chartFormat chart="5" format="18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5"/>
          </reference>
        </references>
      </pivotArea>
    </chartFormat>
    <chartFormat chart="5" format="182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4" count="1" selected="0">
            <x v="5"/>
          </reference>
        </references>
      </pivotArea>
    </chartFormat>
    <chartFormat chart="5" format="183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4" count="1" selected="0">
            <x v="5"/>
          </reference>
        </references>
      </pivotArea>
    </chartFormat>
    <chartFormat chart="5" format="184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4" count="1" selected="0">
            <x v="5"/>
          </reference>
        </references>
      </pivotArea>
    </chartFormat>
    <chartFormat chart="5" format="185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4" count="1" selected="0">
            <x v="5"/>
          </reference>
        </references>
      </pivotArea>
    </chartFormat>
    <chartFormat chart="5" format="186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4" count="1" selected="0">
            <x v="5"/>
          </reference>
        </references>
      </pivotArea>
    </chartFormat>
    <chartFormat chart="5" format="187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4" count="1" selected="0">
            <x v="5"/>
          </reference>
        </references>
      </pivotArea>
    </chartFormat>
    <chartFormat chart="5" format="188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4" count="1" selected="0">
            <x v="5"/>
          </reference>
        </references>
      </pivotArea>
    </chartFormat>
    <chartFormat chart="5" format="18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5" format="19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6"/>
          </reference>
        </references>
      </pivotArea>
    </chartFormat>
    <chartFormat chart="5" format="19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6"/>
          </reference>
        </references>
      </pivotArea>
    </chartFormat>
    <chartFormat chart="5" format="19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6"/>
          </reference>
        </references>
      </pivotArea>
    </chartFormat>
    <chartFormat chart="5" format="19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6"/>
          </reference>
        </references>
      </pivotArea>
    </chartFormat>
    <chartFormat chart="5" format="19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6"/>
          </reference>
        </references>
      </pivotArea>
    </chartFormat>
    <chartFormat chart="5" format="195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6"/>
          </reference>
        </references>
      </pivotArea>
    </chartFormat>
    <chartFormat chart="5" format="196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4" count="1" selected="0">
            <x v="6"/>
          </reference>
        </references>
      </pivotArea>
    </chartFormat>
    <chartFormat chart="5" format="197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4" count="1" selected="0">
            <x v="6"/>
          </reference>
        </references>
      </pivotArea>
    </chartFormat>
    <chartFormat chart="5" format="198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4" count="1" selected="0">
            <x v="6"/>
          </reference>
        </references>
      </pivotArea>
    </chartFormat>
    <chartFormat chart="5" format="199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4" count="1" selected="0">
            <x v="6"/>
          </reference>
        </references>
      </pivotArea>
    </chartFormat>
    <chartFormat chart="5" format="200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4" count="1" selected="0">
            <x v="6"/>
          </reference>
        </references>
      </pivotArea>
    </chartFormat>
    <chartFormat chart="5" format="201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4" count="1" selected="0">
            <x v="6"/>
          </reference>
        </references>
      </pivotArea>
    </chartFormat>
    <chartFormat chart="5" format="202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4" count="1" selected="0">
            <x v="6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7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7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7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7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8" format="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8" format="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9" format="3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3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3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3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9" format="3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9" format="4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9" format="4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6A998-963B-4F8C-BBEE-FE247CA650C0}" name="PivotTable1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C10" firstHeaderRow="0" firstDataRow="1" firstDataCol="1"/>
  <pivotFields count="9">
    <pivotField compact="0" outline="0" showAll="0"/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axis="axisRow" compact="0" outline="0" showAll="0">
      <items count="7">
        <item x="3"/>
        <item x="1"/>
        <item x="4"/>
        <item x="2"/>
        <item x="0"/>
        <item x="5"/>
        <item t="default"/>
      </items>
    </pivotField>
    <pivotField compact="0" outline="0" showAll="0">
      <items count="8">
        <item x="3"/>
        <item h="1" x="1"/>
        <item x="0"/>
        <item x="4"/>
        <item x="2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otal_Amount" fld="8" subtotal="count" baseField="0" baseItem="0"/>
    <dataField name="Sum of Total_Amount" fld="8" baseField="0" baseItem="0"/>
  </dataFields>
  <chartFormats count="6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1"/>
          </reference>
          <reference field="3" count="1" selected="0">
            <x v="5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1"/>
          </reference>
          <reference field="3" count="1" selected="0">
            <x v="5"/>
          </reference>
        </references>
      </pivotArea>
    </chartFormat>
    <chartFormat chart="9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9" format="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38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9" format="39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9" format="40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9" format="41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9" format="42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9" format="43">
      <pivotArea type="data" outline="0" fieldPosition="0">
        <references count="2">
          <reference field="4294967294" count="1" selected="0">
            <x v="1"/>
          </reference>
          <reference field="3" count="1" selected="0">
            <x v="5"/>
          </reference>
        </references>
      </pivotArea>
    </chartFormat>
    <chartFormat chart="10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4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4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50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0" format="5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52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10" format="53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10" format="54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10" format="55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10" format="56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10" format="57">
      <pivotArea type="data" outline="0" fieldPosition="0">
        <references count="2">
          <reference field="4294967294" count="1" selected="0">
            <x v="1"/>
          </reference>
          <reference field="3" count="1" selected="0">
            <x v="5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8C7D4-9155-427C-8B73-00E18CF62303}" name="PivotTable2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17" firstHeaderRow="1" firstDataRow="1" firstDataCol="1"/>
  <pivotFields count="9">
    <pivotField compact="0" outline="0" showAll="0"/>
    <pivotField compact="0" outline="0" showAll="0"/>
    <pivotField axis="axisRow" compact="0" outline="0" showAll="0">
      <items count="14">
        <item x="9"/>
        <item x="0"/>
        <item x="3"/>
        <item x="7"/>
        <item x="5"/>
        <item x="6"/>
        <item x="10"/>
        <item x="4"/>
        <item x="11"/>
        <item x="8"/>
        <item x="1"/>
        <item x="2"/>
        <item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Total_Amount" fld="8" subtotal="average" baseField="0" baseItem="0"/>
  </dataFields>
  <chartFormats count="6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6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6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6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6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6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7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7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7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7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7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7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7" format="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8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4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4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4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49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8" format="50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8" format="5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8" format="52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8" format="53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8" format="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8" format="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8" format="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88DC2-67B3-49EB-BA20-7F5AE1517ABC}" name="PivotTable3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3:B17" firstHeaderRow="1" firstDataRow="1" firstDataCol="1"/>
  <pivotFields count="9">
    <pivotField compact="0" outline="0" showAll="0"/>
    <pivotField axis="axisRow" compact="0" outline="0" showAll="0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14">
    <i>
      <x v="12"/>
    </i>
    <i>
      <x v="1"/>
    </i>
    <i>
      <x v="7"/>
    </i>
    <i>
      <x v="8"/>
    </i>
    <i>
      <x v="11"/>
    </i>
    <i>
      <x v="5"/>
    </i>
    <i>
      <x v="3"/>
    </i>
    <i>
      <x v="4"/>
    </i>
    <i>
      <x v="2"/>
    </i>
    <i>
      <x v="10"/>
    </i>
    <i>
      <x v="9"/>
    </i>
    <i>
      <x/>
    </i>
    <i>
      <x v="6"/>
    </i>
    <i t="grand">
      <x/>
    </i>
  </rowItems>
  <colItems count="1">
    <i/>
  </colItems>
  <dataFields count="1">
    <dataField name="Sum of Total_Amount" fld="8" baseField="0" baseItem="0"/>
  </dataFields>
  <formats count="3">
    <format dxfId="1">
      <pivotArea field="1" type="button" dataOnly="0" labelOnly="1" outline="0" axis="axisRow" fieldPosition="0"/>
    </format>
    <format dxfId="2">
      <pivotArea dataOnly="0" labelOnly="1" outline="0" fieldPosition="0">
        <references count="1">
          <reference field="1" count="0"/>
        </references>
      </pivotArea>
    </format>
    <format dxfId="3">
      <pivotArea dataOnly="0" labelOnly="1" grandRow="1" outline="0" fieldPosition="0"/>
    </format>
  </formats>
  <chartFormats count="6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9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0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0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0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0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0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0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0" format="4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0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1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1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46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1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1" format="48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1" format="49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1" format="5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5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1" format="5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53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1" format="54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1" format="5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5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8A280-218E-4F7F-BD11-B6393FDBCA38}" name="PivotTable4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9">
    <pivotField dataField="1" compact="0" outline="0" showAll="0"/>
    <pivotField compact="0" outline="0" showAll="0"/>
    <pivotField compact="0" outline="0" showAll="0">
      <items count="14">
        <item x="9"/>
        <item x="0"/>
        <item x="3"/>
        <item x="7"/>
        <item x="5"/>
        <item x="6"/>
        <item x="10"/>
        <item x="4"/>
        <item x="11"/>
        <item x="8"/>
        <item x="1"/>
        <item x="2"/>
        <item x="12"/>
        <item t="default"/>
      </items>
    </pivotField>
    <pivotField compact="0" outline="0" showAll="0"/>
    <pivotField compact="0" outline="0" showAll="0">
      <items count="8">
        <item x="3"/>
        <item x="1"/>
        <item x="0"/>
        <item x="4"/>
        <item x="2"/>
        <item x="5"/>
        <item x="6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ate" xr10:uid="{46DDD056-BAAC-49F2-A056-13338C9732ED}" sourceName="Date">
  <pivotTables>
    <pivotTable tabId="7" name="PivotTable1"/>
  </pivotTables>
  <data>
    <tabular pivotCacheId="83432001">
      <items count="13">
        <i x="0" s="1"/>
        <i x="2" s="1"/>
        <i x="3" s="1"/>
        <i x="4" s="1"/>
        <i x="5" s="1"/>
        <i x="6" s="1"/>
        <i x="8" s="1"/>
        <i x="9" s="1"/>
        <i x="10" s="1"/>
        <i x="11" s="1"/>
        <i x="1" s="1" nd="1"/>
        <i x="7" s="1" nd="1"/>
        <i x="1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ity" xr10:uid="{D05A956A-C044-42E3-BDE1-DDCC106AA97F}" sourceName="City">
  <pivotTables>
    <pivotTable tabId="7" name="PivotTable1"/>
  </pivotTables>
  <data>
    <tabular pivotCacheId="83432001">
      <items count="6">
        <i x="3" s="1"/>
        <i x="1" s="1"/>
        <i x="4" s="1"/>
        <i x="2" s="1"/>
        <i x="0" s="1"/>
        <i x="5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D8DBF11-AA0E-4DD9-9472-FB081AC0B1C7}" sourceName="Product">
  <pivotTables>
    <pivotTable tabId="7" name="PivotTable1"/>
  </pivotTables>
  <data>
    <tabular pivotCacheId="83432001">
      <items count="7">
        <i x="3" s="1"/>
        <i x="1"/>
        <i x="0" s="1"/>
        <i x="4" s="1"/>
        <i x="2" s="1"/>
        <i x="5" s="1"/>
        <i x="6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e" xr10:uid="{2EEFEBA6-8258-4948-97FB-6FA08C0822B7}" cache="Slicer_Date" caption="Date" startItem="4" rowHeight="228600"/>
  <slicer name="City" xr10:uid="{19B52E97-879A-43A9-990D-56A029388DBB}" cache="Slicer_City" caption="City" rowHeight="228600"/>
  <slicer name="Product" xr10:uid="{E1276891-55E5-40B2-8506-D89546A9B114}" cache="Slicer_Product" caption="Product" rowHeight="22860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C6F23-4A4D-40AB-B1AE-CA292F4C267F}">
  <dimension ref="A1:B7"/>
  <sheetViews>
    <sheetView topLeftCell="A80" workbookViewId="0">
      <selection activeCell="L95" sqref="L95"/>
    </sheetView>
  </sheetViews>
  <sheetFormatPr defaultRowHeight="15"/>
  <sheetData>
    <row r="1" spans="1:2">
      <c r="A1" s="6"/>
      <c r="B1" s="7"/>
    </row>
    <row r="2" spans="1:2">
      <c r="A2" s="8" t="s">
        <v>0</v>
      </c>
      <c r="B2" s="9">
        <f>SUM(Sheet1!I2:I13)</f>
        <v>256100</v>
      </c>
    </row>
    <row r="3" spans="1:2">
      <c r="A3" s="8"/>
      <c r="B3" s="9"/>
    </row>
    <row r="4" spans="1:2">
      <c r="A4" s="10" t="s">
        <v>1</v>
      </c>
      <c r="B4" s="11">
        <f>COUNT(Sheet1!A2:A13)</f>
        <v>12</v>
      </c>
    </row>
    <row r="5" spans="1:2">
      <c r="A5" s="12"/>
      <c r="B5" s="13"/>
    </row>
    <row r="6" spans="1:2">
      <c r="A6" s="14" t="s">
        <v>2</v>
      </c>
      <c r="B6" s="15">
        <f>AVERAGE(Sheet1!I2:I13)</f>
        <v>21341.666666666668</v>
      </c>
    </row>
    <row r="7" spans="1:2">
      <c r="A7" s="16"/>
      <c r="B7" s="1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D95E0-8E8E-489D-A58C-547C944DA45F}">
  <dimension ref="A3:D11"/>
  <sheetViews>
    <sheetView topLeftCell="A13" workbookViewId="0">
      <selection activeCell="B7" sqref="B7"/>
    </sheetView>
  </sheetViews>
  <sheetFormatPr defaultRowHeight="14.45"/>
  <cols>
    <col min="1" max="1" width="11.42578125" bestFit="1" customWidth="1"/>
    <col min="2" max="2" width="19.42578125" bestFit="1" customWidth="1"/>
    <col min="3" max="3" width="21.85546875" bestFit="1" customWidth="1"/>
    <col min="4" max="4" width="20.42578125" bestFit="1" customWidth="1"/>
  </cols>
  <sheetData>
    <row r="3" spans="1:4">
      <c r="A3" s="2" t="s">
        <v>3</v>
      </c>
      <c r="B3" t="s">
        <v>4</v>
      </c>
      <c r="C3" t="s">
        <v>5</v>
      </c>
      <c r="D3" t="s">
        <v>6</v>
      </c>
    </row>
    <row r="4" spans="1:4">
      <c r="A4" t="s">
        <v>7</v>
      </c>
      <c r="B4" s="5">
        <v>5.0761421319796954E-2</v>
      </c>
      <c r="C4">
        <v>2</v>
      </c>
      <c r="D4">
        <v>13000</v>
      </c>
    </row>
    <row r="5" spans="1:4">
      <c r="A5" t="s">
        <v>8</v>
      </c>
      <c r="B5" s="5">
        <v>2.5771183131589222E-2</v>
      </c>
      <c r="C5">
        <v>2</v>
      </c>
      <c r="D5">
        <v>6600</v>
      </c>
    </row>
    <row r="6" spans="1:4">
      <c r="A6" t="s">
        <v>9</v>
      </c>
      <c r="B6" s="5">
        <v>0.44904334244435767</v>
      </c>
      <c r="C6">
        <v>2</v>
      </c>
      <c r="D6">
        <v>115000</v>
      </c>
    </row>
    <row r="7" spans="1:4">
      <c r="A7" t="s">
        <v>10</v>
      </c>
      <c r="B7" s="5">
        <v>0.21866458414681764</v>
      </c>
      <c r="C7">
        <v>2</v>
      </c>
      <c r="D7">
        <v>56000</v>
      </c>
    </row>
    <row r="8" spans="1:4">
      <c r="A8" t="s">
        <v>11</v>
      </c>
      <c r="B8" s="5">
        <v>0.20304568527918782</v>
      </c>
      <c r="C8">
        <v>2</v>
      </c>
      <c r="D8">
        <v>52000</v>
      </c>
    </row>
    <row r="9" spans="1:4">
      <c r="A9" t="s">
        <v>12</v>
      </c>
      <c r="B9" s="5">
        <v>5.2713783678250685E-2</v>
      </c>
      <c r="C9">
        <v>2</v>
      </c>
      <c r="D9">
        <v>13500</v>
      </c>
    </row>
    <row r="10" spans="1:4">
      <c r="A10" t="s">
        <v>13</v>
      </c>
      <c r="B10" s="5">
        <v>0</v>
      </c>
    </row>
    <row r="11" spans="1:4">
      <c r="A11" t="s">
        <v>14</v>
      </c>
      <c r="B11" s="5">
        <v>1</v>
      </c>
      <c r="C11">
        <v>12</v>
      </c>
      <c r="D11">
        <v>256100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9CF24-C1B6-49FC-8DBE-FBBA148310FA}">
  <dimension ref="A3:B7"/>
  <sheetViews>
    <sheetView workbookViewId="0">
      <selection activeCell="A5" sqref="A5"/>
    </sheetView>
  </sheetViews>
  <sheetFormatPr defaultRowHeight="14.45"/>
  <cols>
    <col min="1" max="1" width="17.28515625" bestFit="1" customWidth="1"/>
    <col min="2" max="2" width="19.42578125" bestFit="1" customWidth="1"/>
  </cols>
  <sheetData>
    <row r="3" spans="1:2">
      <c r="A3" s="2" t="s">
        <v>15</v>
      </c>
      <c r="B3" t="s">
        <v>4</v>
      </c>
    </row>
    <row r="4" spans="1:2">
      <c r="A4" t="s">
        <v>16</v>
      </c>
      <c r="B4">
        <v>60000</v>
      </c>
    </row>
    <row r="5" spans="1:2">
      <c r="A5" t="s">
        <v>17</v>
      </c>
      <c r="B5">
        <v>55000</v>
      </c>
    </row>
    <row r="6" spans="1:2">
      <c r="A6" t="s">
        <v>18</v>
      </c>
      <c r="B6">
        <v>36000</v>
      </c>
    </row>
    <row r="7" spans="1:2">
      <c r="A7" t="s">
        <v>14</v>
      </c>
      <c r="B7">
        <v>151000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A03B6-2825-4CEF-BC6C-37A40625F745}">
  <dimension ref="A3:I18"/>
  <sheetViews>
    <sheetView workbookViewId="0">
      <selection activeCell="A18" sqref="A18"/>
    </sheetView>
  </sheetViews>
  <sheetFormatPr defaultRowHeight="14.45"/>
  <cols>
    <col min="1" max="1" width="19.42578125" bestFit="1" customWidth="1"/>
    <col min="2" max="8" width="11.42578125" bestFit="1" customWidth="1"/>
    <col min="9" max="9" width="10.7109375" bestFit="1" customWidth="1"/>
    <col min="10" max="14" width="17.28515625" bestFit="1" customWidth="1"/>
    <col min="15" max="15" width="10.7109375" bestFit="1" customWidth="1"/>
  </cols>
  <sheetData>
    <row r="3" spans="1:9">
      <c r="A3" s="2" t="s">
        <v>4</v>
      </c>
      <c r="B3" s="2" t="s">
        <v>3</v>
      </c>
    </row>
    <row r="4" spans="1:9">
      <c r="A4" s="2" t="s">
        <v>15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 t="s">
        <v>18</v>
      </c>
      <c r="E5">
        <v>36000</v>
      </c>
      <c r="I5">
        <v>36000</v>
      </c>
    </row>
    <row r="6" spans="1:9">
      <c r="A6" t="s">
        <v>17</v>
      </c>
      <c r="D6">
        <v>55000</v>
      </c>
      <c r="I6">
        <v>55000</v>
      </c>
    </row>
    <row r="7" spans="1:9">
      <c r="A7" t="s">
        <v>19</v>
      </c>
      <c r="B7">
        <v>8000</v>
      </c>
      <c r="I7">
        <v>8000</v>
      </c>
    </row>
    <row r="8" spans="1:9">
      <c r="A8" t="s">
        <v>20</v>
      </c>
      <c r="C8">
        <v>3600</v>
      </c>
      <c r="I8">
        <v>3600</v>
      </c>
    </row>
    <row r="9" spans="1:9">
      <c r="A9" t="s">
        <v>21</v>
      </c>
      <c r="G9">
        <v>7000</v>
      </c>
      <c r="I9">
        <v>7000</v>
      </c>
    </row>
    <row r="10" spans="1:9">
      <c r="A10" t="s">
        <v>16</v>
      </c>
      <c r="D10">
        <v>60000</v>
      </c>
      <c r="I10">
        <v>60000</v>
      </c>
    </row>
    <row r="11" spans="1:9">
      <c r="A11" t="s">
        <v>22</v>
      </c>
      <c r="F11">
        <v>27000</v>
      </c>
      <c r="I11">
        <v>27000</v>
      </c>
    </row>
    <row r="12" spans="1:9">
      <c r="A12" t="s">
        <v>23</v>
      </c>
      <c r="E12">
        <v>20000</v>
      </c>
      <c r="I12">
        <v>20000</v>
      </c>
    </row>
    <row r="13" spans="1:9">
      <c r="A13" t="s">
        <v>24</v>
      </c>
      <c r="G13">
        <v>6500</v>
      </c>
      <c r="I13">
        <v>6500</v>
      </c>
    </row>
    <row r="14" spans="1:9">
      <c r="A14" t="s">
        <v>25</v>
      </c>
      <c r="B14">
        <v>5000</v>
      </c>
      <c r="I14">
        <v>5000</v>
      </c>
    </row>
    <row r="15" spans="1:9">
      <c r="A15" t="s">
        <v>26</v>
      </c>
      <c r="C15">
        <v>3000</v>
      </c>
      <c r="I15">
        <v>3000</v>
      </c>
    </row>
    <row r="16" spans="1:9">
      <c r="A16" t="s">
        <v>27</v>
      </c>
      <c r="F16">
        <v>25000</v>
      </c>
      <c r="I16">
        <v>25000</v>
      </c>
    </row>
    <row r="17" spans="1:9">
      <c r="A17" t="s">
        <v>13</v>
      </c>
    </row>
    <row r="18" spans="1:9">
      <c r="A18" t="s">
        <v>14</v>
      </c>
      <c r="B18">
        <v>13000</v>
      </c>
      <c r="C18">
        <v>6600</v>
      </c>
      <c r="D18">
        <v>115000</v>
      </c>
      <c r="E18">
        <v>56000</v>
      </c>
      <c r="F18">
        <v>52000</v>
      </c>
      <c r="G18">
        <v>13500</v>
      </c>
      <c r="I18">
        <v>256100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C2573-CDD7-4466-96AB-E771E83F01E1}">
  <dimension ref="A3:C10"/>
  <sheetViews>
    <sheetView tabSelected="1" workbookViewId="0">
      <selection activeCell="E17" activeCellId="1" sqref="B6 E17"/>
    </sheetView>
  </sheetViews>
  <sheetFormatPr defaultRowHeight="14.45"/>
  <cols>
    <col min="1" max="1" width="11.42578125" bestFit="1" customWidth="1"/>
    <col min="2" max="2" width="21.85546875" bestFit="1" customWidth="1"/>
    <col min="3" max="3" width="20.42578125" bestFit="1" customWidth="1"/>
  </cols>
  <sheetData>
    <row r="3" spans="1:3">
      <c r="A3" s="2" t="s">
        <v>28</v>
      </c>
      <c r="B3" t="s">
        <v>29</v>
      </c>
      <c r="C3" t="s">
        <v>4</v>
      </c>
    </row>
    <row r="4" spans="1:3">
      <c r="A4" t="s">
        <v>30</v>
      </c>
      <c r="B4" s="18">
        <v>1</v>
      </c>
      <c r="C4" s="18">
        <v>60000</v>
      </c>
    </row>
    <row r="5" spans="1:3">
      <c r="A5" t="s">
        <v>31</v>
      </c>
      <c r="B5" s="18">
        <v>3</v>
      </c>
      <c r="C5" s="18">
        <v>54000</v>
      </c>
    </row>
    <row r="6" spans="1:3">
      <c r="A6" t="s">
        <v>32</v>
      </c>
      <c r="B6" s="18">
        <v>2</v>
      </c>
      <c r="C6" s="18">
        <v>42500</v>
      </c>
    </row>
    <row r="7" spans="1:3">
      <c r="A7" t="s">
        <v>33</v>
      </c>
      <c r="B7" s="18">
        <v>1</v>
      </c>
      <c r="C7" s="18">
        <v>25000</v>
      </c>
    </row>
    <row r="8" spans="1:3">
      <c r="A8" t="s">
        <v>34</v>
      </c>
      <c r="B8" s="18">
        <v>3</v>
      </c>
      <c r="C8" s="18">
        <v>68000</v>
      </c>
    </row>
    <row r="9" spans="1:3">
      <c r="A9" t="s">
        <v>13</v>
      </c>
      <c r="B9" s="18"/>
      <c r="C9" s="18"/>
    </row>
    <row r="10" spans="1:3">
      <c r="A10" t="s">
        <v>14</v>
      </c>
      <c r="B10" s="18">
        <v>10</v>
      </c>
      <c r="C10" s="18">
        <v>249500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2FC7-63E0-4DF9-8D30-775194F2EE6D}">
  <dimension ref="A3:B17"/>
  <sheetViews>
    <sheetView workbookViewId="0">
      <selection activeCell="Q5" sqref="Q5"/>
    </sheetView>
  </sheetViews>
  <sheetFormatPr defaultRowHeight="14.45"/>
  <cols>
    <col min="1" max="1" width="17.28515625" bestFit="1" customWidth="1"/>
    <col min="2" max="2" width="22.5703125" bestFit="1" customWidth="1"/>
  </cols>
  <sheetData>
    <row r="3" spans="1:2">
      <c r="A3" s="2" t="s">
        <v>15</v>
      </c>
      <c r="B3" t="s">
        <v>35</v>
      </c>
    </row>
    <row r="4" spans="1:2">
      <c r="A4" t="s">
        <v>18</v>
      </c>
      <c r="B4">
        <v>36000</v>
      </c>
    </row>
    <row r="5" spans="1:2">
      <c r="A5" t="s">
        <v>17</v>
      </c>
      <c r="B5">
        <v>55000</v>
      </c>
    </row>
    <row r="6" spans="1:2">
      <c r="A6" t="s">
        <v>19</v>
      </c>
      <c r="B6">
        <v>8000</v>
      </c>
    </row>
    <row r="7" spans="1:2">
      <c r="A7" t="s">
        <v>20</v>
      </c>
      <c r="B7">
        <v>3600</v>
      </c>
    </row>
    <row r="8" spans="1:2">
      <c r="A8" t="s">
        <v>21</v>
      </c>
      <c r="B8">
        <v>7000</v>
      </c>
    </row>
    <row r="9" spans="1:2">
      <c r="A9" t="s">
        <v>16</v>
      </c>
      <c r="B9">
        <v>60000</v>
      </c>
    </row>
    <row r="10" spans="1:2">
      <c r="A10" t="s">
        <v>22</v>
      </c>
      <c r="B10">
        <v>27000</v>
      </c>
    </row>
    <row r="11" spans="1:2">
      <c r="A11" t="s">
        <v>23</v>
      </c>
      <c r="B11">
        <v>20000</v>
      </c>
    </row>
    <row r="12" spans="1:2">
      <c r="A12" t="s">
        <v>24</v>
      </c>
      <c r="B12">
        <v>6500</v>
      </c>
    </row>
    <row r="13" spans="1:2">
      <c r="A13" t="s">
        <v>25</v>
      </c>
      <c r="B13">
        <v>5000</v>
      </c>
    </row>
    <row r="14" spans="1:2">
      <c r="A14" t="s">
        <v>26</v>
      </c>
      <c r="B14">
        <v>3000</v>
      </c>
    </row>
    <row r="15" spans="1:2">
      <c r="A15" t="s">
        <v>27</v>
      </c>
      <c r="B15">
        <v>25000</v>
      </c>
    </row>
    <row r="16" spans="1:2">
      <c r="A16" t="s">
        <v>13</v>
      </c>
    </row>
    <row r="17" spans="1:2">
      <c r="A17" t="s">
        <v>14</v>
      </c>
      <c r="B17">
        <v>21341.666666666668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E7BDE-70E7-41BF-98E1-6BA71C0B4EC6}">
  <dimension ref="A3:B17"/>
  <sheetViews>
    <sheetView workbookViewId="0">
      <selection activeCell="B8" sqref="B8"/>
    </sheetView>
  </sheetViews>
  <sheetFormatPr defaultRowHeight="14.45"/>
  <cols>
    <col min="1" max="1" width="10.7109375" style="4" bestFit="1" customWidth="1"/>
    <col min="2" max="2" width="19.42578125" bestFit="1" customWidth="1"/>
  </cols>
  <sheetData>
    <row r="3" spans="1:2">
      <c r="A3" s="3" t="s">
        <v>36</v>
      </c>
      <c r="B3" t="s">
        <v>4</v>
      </c>
    </row>
    <row r="4" spans="1:2">
      <c r="A4" s="4" t="s">
        <v>13</v>
      </c>
    </row>
    <row r="5" spans="1:2">
      <c r="A5" s="4" t="s">
        <v>37</v>
      </c>
      <c r="B5">
        <v>3000</v>
      </c>
    </row>
    <row r="6" spans="1:2">
      <c r="A6" s="4" t="s">
        <v>38</v>
      </c>
      <c r="B6">
        <v>3600</v>
      </c>
    </row>
    <row r="7" spans="1:2">
      <c r="A7" s="4" t="s">
        <v>39</v>
      </c>
      <c r="B7">
        <v>5000</v>
      </c>
    </row>
    <row r="8" spans="1:2">
      <c r="A8" s="4" t="s">
        <v>40</v>
      </c>
      <c r="B8">
        <v>6500</v>
      </c>
    </row>
    <row r="9" spans="1:2">
      <c r="A9" s="4" t="s">
        <v>41</v>
      </c>
      <c r="B9">
        <v>7000</v>
      </c>
    </row>
    <row r="10" spans="1:2">
      <c r="A10" s="4" t="s">
        <v>42</v>
      </c>
      <c r="B10">
        <v>8000</v>
      </c>
    </row>
    <row r="11" spans="1:2">
      <c r="A11" s="4" t="s">
        <v>43</v>
      </c>
      <c r="B11">
        <v>20000</v>
      </c>
    </row>
    <row r="12" spans="1:2">
      <c r="A12" s="4" t="s">
        <v>44</v>
      </c>
      <c r="B12">
        <v>25000</v>
      </c>
    </row>
    <row r="13" spans="1:2">
      <c r="A13" s="4" t="s">
        <v>45</v>
      </c>
      <c r="B13">
        <v>27000</v>
      </c>
    </row>
    <row r="14" spans="1:2">
      <c r="A14" s="4" t="s">
        <v>46</v>
      </c>
      <c r="B14">
        <v>36000</v>
      </c>
    </row>
    <row r="15" spans="1:2">
      <c r="A15" s="4" t="s">
        <v>47</v>
      </c>
      <c r="B15">
        <v>55000</v>
      </c>
    </row>
    <row r="16" spans="1:2">
      <c r="A16" s="4" t="s">
        <v>48</v>
      </c>
      <c r="B16">
        <v>60000</v>
      </c>
    </row>
    <row r="17" spans="1:2">
      <c r="A17" s="4" t="s">
        <v>14</v>
      </c>
      <c r="B17">
        <v>256100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workbookViewId="0">
      <selection activeCell="K15" sqref="K15"/>
    </sheetView>
  </sheetViews>
  <sheetFormatPr defaultRowHeight="15" customHeight="1"/>
  <cols>
    <col min="2" max="2" width="10.140625" bestFit="1" customWidth="1"/>
    <col min="9" max="9" width="13.7109375" bestFit="1" customWidth="1"/>
    <col min="11" max="11" width="12.7109375" bestFit="1" customWidth="1"/>
  </cols>
  <sheetData>
    <row r="1" spans="1:11" ht="14.45">
      <c r="A1" s="1" t="s">
        <v>49</v>
      </c>
      <c r="B1" s="1" t="s">
        <v>36</v>
      </c>
      <c r="C1" s="1" t="s">
        <v>15</v>
      </c>
      <c r="D1" s="1" t="s">
        <v>28</v>
      </c>
      <c r="E1" s="1" t="s">
        <v>3</v>
      </c>
      <c r="F1" s="1" t="s">
        <v>50</v>
      </c>
      <c r="G1" s="1" t="s">
        <v>51</v>
      </c>
      <c r="H1" s="1" t="s">
        <v>52</v>
      </c>
      <c r="I1" s="1" t="s">
        <v>53</v>
      </c>
    </row>
    <row r="2" spans="1:11" ht="14.45">
      <c r="A2">
        <v>1001</v>
      </c>
      <c r="B2" t="s">
        <v>47</v>
      </c>
      <c r="C2" t="s">
        <v>17</v>
      </c>
      <c r="D2" t="s">
        <v>34</v>
      </c>
      <c r="E2" t="s">
        <v>9</v>
      </c>
      <c r="F2" t="s">
        <v>54</v>
      </c>
      <c r="G2">
        <v>1</v>
      </c>
      <c r="H2">
        <v>55000</v>
      </c>
      <c r="I2">
        <v>55000</v>
      </c>
      <c r="J2">
        <f>G2*H2</f>
        <v>55000</v>
      </c>
      <c r="K2" t="str">
        <f>IF(I2=G2*H2,"correct","wrong")</f>
        <v>correct</v>
      </c>
    </row>
    <row r="3" spans="1:11" ht="14.45">
      <c r="A3">
        <v>1002</v>
      </c>
      <c r="B3" t="s">
        <v>37</v>
      </c>
      <c r="C3" t="s">
        <v>26</v>
      </c>
      <c r="D3" t="s">
        <v>31</v>
      </c>
      <c r="E3" t="s">
        <v>8</v>
      </c>
      <c r="F3" t="s">
        <v>54</v>
      </c>
      <c r="G3">
        <v>2</v>
      </c>
      <c r="H3">
        <v>1500</v>
      </c>
      <c r="I3">
        <v>3000</v>
      </c>
      <c r="J3">
        <f t="shared" ref="J3:J13" si="0">G3*H3</f>
        <v>3000</v>
      </c>
      <c r="K3" t="str">
        <f t="shared" ref="K3:K13" si="1">IF(I3=G3*H3,"correct","wrong")</f>
        <v>correct</v>
      </c>
    </row>
    <row r="4" spans="1:11" ht="14.45">
      <c r="A4">
        <v>1003</v>
      </c>
      <c r="B4" t="s">
        <v>44</v>
      </c>
      <c r="C4" t="s">
        <v>27</v>
      </c>
      <c r="D4" t="s">
        <v>33</v>
      </c>
      <c r="E4" t="s">
        <v>11</v>
      </c>
      <c r="F4" t="s">
        <v>55</v>
      </c>
      <c r="G4">
        <v>1</v>
      </c>
      <c r="H4">
        <v>25000</v>
      </c>
      <c r="I4">
        <v>25000</v>
      </c>
      <c r="J4">
        <f t="shared" si="0"/>
        <v>25000</v>
      </c>
      <c r="K4" t="str">
        <f t="shared" si="1"/>
        <v>correct</v>
      </c>
    </row>
    <row r="5" spans="1:11" ht="14.45">
      <c r="A5">
        <v>1004</v>
      </c>
      <c r="B5" t="s">
        <v>42</v>
      </c>
      <c r="C5" t="s">
        <v>19</v>
      </c>
      <c r="D5" t="s">
        <v>34</v>
      </c>
      <c r="E5" t="s">
        <v>7</v>
      </c>
      <c r="F5" t="s">
        <v>55</v>
      </c>
      <c r="G5">
        <v>4</v>
      </c>
      <c r="H5">
        <v>2000</v>
      </c>
      <c r="I5">
        <v>8000</v>
      </c>
      <c r="J5">
        <f t="shared" si="0"/>
        <v>8000</v>
      </c>
      <c r="K5" t="str">
        <f t="shared" si="1"/>
        <v>correct</v>
      </c>
    </row>
    <row r="6" spans="1:11" ht="14.45">
      <c r="A6">
        <v>1005</v>
      </c>
      <c r="B6" t="s">
        <v>43</v>
      </c>
      <c r="C6" t="s">
        <v>23</v>
      </c>
      <c r="D6" t="s">
        <v>31</v>
      </c>
      <c r="E6" t="s">
        <v>10</v>
      </c>
      <c r="F6" t="s">
        <v>54</v>
      </c>
      <c r="G6">
        <v>1</v>
      </c>
      <c r="H6">
        <v>20000</v>
      </c>
      <c r="I6">
        <v>20000</v>
      </c>
      <c r="J6">
        <f t="shared" si="0"/>
        <v>20000</v>
      </c>
      <c r="K6" t="str">
        <f t="shared" si="1"/>
        <v>correct</v>
      </c>
    </row>
    <row r="7" spans="1:11" ht="14.45">
      <c r="A7">
        <v>1006</v>
      </c>
      <c r="B7" t="s">
        <v>41</v>
      </c>
      <c r="C7" t="s">
        <v>21</v>
      </c>
      <c r="D7" t="s">
        <v>31</v>
      </c>
      <c r="E7" t="s">
        <v>12</v>
      </c>
      <c r="F7" t="s">
        <v>55</v>
      </c>
      <c r="G7">
        <v>1</v>
      </c>
      <c r="H7">
        <v>7000</v>
      </c>
      <c r="I7">
        <v>7000</v>
      </c>
      <c r="J7">
        <f t="shared" si="0"/>
        <v>7000</v>
      </c>
      <c r="K7" t="str">
        <f t="shared" si="1"/>
        <v>correct</v>
      </c>
    </row>
    <row r="8" spans="1:11" ht="14.45">
      <c r="A8">
        <v>1007</v>
      </c>
      <c r="B8" t="s">
        <v>48</v>
      </c>
      <c r="C8" t="s">
        <v>16</v>
      </c>
      <c r="D8" t="s">
        <v>30</v>
      </c>
      <c r="E8" t="s">
        <v>9</v>
      </c>
      <c r="F8" t="s">
        <v>54</v>
      </c>
      <c r="G8">
        <v>1</v>
      </c>
      <c r="H8">
        <v>60000</v>
      </c>
      <c r="I8">
        <v>60000</v>
      </c>
      <c r="J8">
        <f t="shared" si="0"/>
        <v>60000</v>
      </c>
      <c r="K8" t="str">
        <f t="shared" si="1"/>
        <v>correct</v>
      </c>
    </row>
    <row r="9" spans="1:11" ht="14.45">
      <c r="A9">
        <v>1008</v>
      </c>
      <c r="B9" t="s">
        <v>38</v>
      </c>
      <c r="C9" t="s">
        <v>20</v>
      </c>
      <c r="D9" t="s">
        <v>33</v>
      </c>
      <c r="E9" t="s">
        <v>8</v>
      </c>
      <c r="F9" t="s">
        <v>54</v>
      </c>
      <c r="G9">
        <v>3</v>
      </c>
      <c r="H9">
        <v>1200</v>
      </c>
      <c r="I9">
        <v>3600</v>
      </c>
      <c r="J9">
        <f t="shared" si="0"/>
        <v>3600</v>
      </c>
      <c r="K9" t="str">
        <f t="shared" si="1"/>
        <v>correct</v>
      </c>
    </row>
    <row r="10" spans="1:11" ht="14.45">
      <c r="A10">
        <v>1009</v>
      </c>
      <c r="B10" t="s">
        <v>39</v>
      </c>
      <c r="C10" t="s">
        <v>25</v>
      </c>
      <c r="D10" t="s">
        <v>34</v>
      </c>
      <c r="E10" t="s">
        <v>7</v>
      </c>
      <c r="F10" t="s">
        <v>55</v>
      </c>
      <c r="G10">
        <v>2</v>
      </c>
      <c r="H10">
        <v>2500</v>
      </c>
      <c r="I10">
        <v>5000</v>
      </c>
      <c r="J10">
        <f t="shared" si="0"/>
        <v>5000</v>
      </c>
      <c r="K10" t="str">
        <f t="shared" si="1"/>
        <v>correct</v>
      </c>
    </row>
    <row r="11" spans="1:11" ht="14.45">
      <c r="A11">
        <v>1010</v>
      </c>
      <c r="B11" t="s">
        <v>46</v>
      </c>
      <c r="C11" t="s">
        <v>18</v>
      </c>
      <c r="D11" t="s">
        <v>32</v>
      </c>
      <c r="E11" t="s">
        <v>10</v>
      </c>
      <c r="F11" t="s">
        <v>54</v>
      </c>
      <c r="G11">
        <v>2</v>
      </c>
      <c r="H11">
        <v>18000</v>
      </c>
      <c r="I11">
        <v>36000</v>
      </c>
      <c r="J11">
        <f t="shared" si="0"/>
        <v>36000</v>
      </c>
      <c r="K11" t="str">
        <f t="shared" si="1"/>
        <v>correct</v>
      </c>
    </row>
    <row r="12" spans="1:11" ht="14.45">
      <c r="A12">
        <v>1011</v>
      </c>
      <c r="B12" t="s">
        <v>45</v>
      </c>
      <c r="C12" t="s">
        <v>22</v>
      </c>
      <c r="D12" t="s">
        <v>31</v>
      </c>
      <c r="E12" t="s">
        <v>11</v>
      </c>
      <c r="F12" t="s">
        <v>55</v>
      </c>
      <c r="G12">
        <v>1</v>
      </c>
      <c r="H12">
        <v>27000</v>
      </c>
      <c r="I12">
        <v>27000</v>
      </c>
      <c r="J12">
        <f t="shared" si="0"/>
        <v>27000</v>
      </c>
      <c r="K12" t="str">
        <f t="shared" si="1"/>
        <v>correct</v>
      </c>
    </row>
    <row r="13" spans="1:11" ht="14.45">
      <c r="A13">
        <v>1012</v>
      </c>
      <c r="B13" t="s">
        <v>40</v>
      </c>
      <c r="C13" t="s">
        <v>24</v>
      </c>
      <c r="D13" t="s">
        <v>32</v>
      </c>
      <c r="E13" t="s">
        <v>12</v>
      </c>
      <c r="F13" t="s">
        <v>55</v>
      </c>
      <c r="G13">
        <v>1</v>
      </c>
      <c r="H13">
        <v>6500</v>
      </c>
      <c r="I13">
        <v>6500</v>
      </c>
      <c r="J13">
        <f t="shared" si="0"/>
        <v>6500</v>
      </c>
      <c r="K13" t="str">
        <f t="shared" si="1"/>
        <v>correct</v>
      </c>
    </row>
    <row r="15" spans="1:11" ht="15" customHeight="1">
      <c r="J15" t="s">
        <v>56</v>
      </c>
      <c r="K15">
        <f>SUM(I2:I13)</f>
        <v>256100</v>
      </c>
    </row>
    <row r="17" spans="10:11" ht="15" customHeight="1">
      <c r="J17" t="s">
        <v>57</v>
      </c>
      <c r="K17">
        <f>COUNT(A2:A13)</f>
        <v>12</v>
      </c>
    </row>
    <row r="19" spans="10:11" ht="15" customHeight="1">
      <c r="J19" t="s">
        <v>58</v>
      </c>
      <c r="K19">
        <f>AVERAGE(I2:I13)</f>
        <v>21341.666666666668</v>
      </c>
    </row>
  </sheetData>
  <conditionalFormatting sqref="A1:I13">
    <cfRule type="duplicateValues" dxfId="0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B2898-563D-4CAB-9A44-B8A712092120}">
  <dimension ref="A1:B7"/>
  <sheetViews>
    <sheetView workbookViewId="0"/>
  </sheetViews>
  <sheetFormatPr defaultRowHeight="14.45"/>
  <cols>
    <col min="1" max="1" width="10.7109375" bestFit="1" customWidth="1"/>
    <col min="2" max="2" width="16.42578125" bestFit="1" customWidth="1"/>
    <col min="3" max="3" width="14.85546875" bestFit="1" customWidth="1"/>
    <col min="4" max="8" width="11.42578125" bestFit="1" customWidth="1"/>
    <col min="9" max="9" width="10.7109375" bestFit="1" customWidth="1"/>
  </cols>
  <sheetData>
    <row r="1" spans="1:2">
      <c r="A1" t="s">
        <v>59</v>
      </c>
    </row>
    <row r="3" spans="1:2">
      <c r="A3" s="2" t="s">
        <v>50</v>
      </c>
      <c r="B3" t="s">
        <v>60</v>
      </c>
    </row>
    <row r="4" spans="1:2">
      <c r="A4" t="s">
        <v>54</v>
      </c>
      <c r="B4">
        <v>6</v>
      </c>
    </row>
    <row r="5" spans="1:2">
      <c r="A5" t="s">
        <v>55</v>
      </c>
      <c r="B5">
        <v>6</v>
      </c>
    </row>
    <row r="6" spans="1:2">
      <c r="A6" t="s">
        <v>13</v>
      </c>
    </row>
    <row r="7" spans="1:2">
      <c r="A7" t="s">
        <v>14</v>
      </c>
      <c r="B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Pushpita Sinha</cp:lastModifiedBy>
  <cp:revision/>
  <dcterms:created xsi:type="dcterms:W3CDTF">2026-06-10T13:34:06Z</dcterms:created>
  <dcterms:modified xsi:type="dcterms:W3CDTF">2026-06-16T13:14:20Z</dcterms:modified>
  <cp:category/>
  <cp:contentStatus/>
</cp:coreProperties>
</file>